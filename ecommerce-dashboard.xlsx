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VPP\DS Lab\Excel\"/>
    </mc:Choice>
  </mc:AlternateContent>
  <xr:revisionPtr revIDLastSave="0" documentId="13_ncr:1_{D183C047-A931-4669-B075-42D50E8AA7D6}" xr6:coauthVersionLast="47" xr6:coauthVersionMax="47" xr10:uidLastSave="{00000000-0000-0000-0000-000000000000}"/>
  <bookViews>
    <workbookView xWindow="-108" yWindow="-108" windowWidth="23256" windowHeight="12456" activeTab="1" xr2:uid="{346724B3-1C49-40AE-AA36-C77CF5D6DD09}"/>
  </bookViews>
  <sheets>
    <sheet name="Pivot" sheetId="5" r:id="rId1"/>
    <sheet name="Dashboard" sheetId="6" r:id="rId2"/>
    <sheet name="Data" sheetId="1" r:id="rId3"/>
    <sheet name="Questions &amp; KPIs" sheetId="2" r:id="rId4"/>
  </sheets>
  <definedNames>
    <definedName name="_xlchart.v5.0" hidden="1">Pivot!$E$65:$F$65</definedName>
    <definedName name="_xlchart.v5.1" hidden="1">Pivot!$E$66:$F$123</definedName>
    <definedName name="_xlchart.v5.2" hidden="1">Pivot!$G$65</definedName>
    <definedName name="_xlchart.v5.3" hidden="1">Pivot!$G$66:$G$123</definedName>
    <definedName name="_xlchart.v5.4" hidden="1">Pivot!$E$65:$F$65</definedName>
    <definedName name="_xlchart.v5.5" hidden="1">Pivot!$E$66:$F$123</definedName>
    <definedName name="_xlchart.v5.6" hidden="1">Pivot!$G$65</definedName>
    <definedName name="_xlchart.v5.7" hidden="1">Pivot!$G$66:$G$123</definedName>
    <definedName name="Slicer_Gender_Value">#N/A</definedName>
    <definedName name="Slicer_Order_Mode">#N/A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96" i="5" l="1"/>
  <c r="J196" i="5"/>
  <c r="K196" i="5"/>
  <c r="L196" i="5"/>
  <c r="I197" i="5"/>
  <c r="J197" i="5"/>
  <c r="K197" i="5"/>
  <c r="L197" i="5"/>
  <c r="I198" i="5"/>
  <c r="J198" i="5"/>
  <c r="K198" i="5"/>
  <c r="L198" i="5"/>
  <c r="I199" i="5"/>
  <c r="J199" i="5"/>
  <c r="K199" i="5"/>
  <c r="L199" i="5"/>
  <c r="J195" i="5"/>
  <c r="K195" i="5"/>
  <c r="L195" i="5"/>
  <c r="I195" i="5"/>
  <c r="J194" i="5"/>
  <c r="K194" i="5"/>
  <c r="L194" i="5"/>
  <c r="I194" i="5"/>
  <c r="H196" i="5"/>
  <c r="H197" i="5"/>
  <c r="H198" i="5"/>
  <c r="H199" i="5"/>
  <c r="H195" i="5"/>
  <c r="O2401" i="1"/>
  <c r="N2401" i="1"/>
  <c r="M2401" i="1"/>
  <c r="O2400" i="1"/>
  <c r="N2400" i="1"/>
  <c r="M2400" i="1"/>
  <c r="O2399" i="1"/>
  <c r="N2399" i="1"/>
  <c r="M2399" i="1"/>
  <c r="O2398" i="1"/>
  <c r="N2398" i="1"/>
  <c r="M2398" i="1"/>
  <c r="O2397" i="1"/>
  <c r="N2397" i="1"/>
  <c r="M2397" i="1"/>
  <c r="O2396" i="1"/>
  <c r="N2396" i="1"/>
  <c r="M2396" i="1"/>
  <c r="O2395" i="1"/>
  <c r="N2395" i="1"/>
  <c r="M2395" i="1"/>
  <c r="O2394" i="1"/>
  <c r="N2394" i="1"/>
  <c r="M2394" i="1"/>
  <c r="O2393" i="1"/>
  <c r="N2393" i="1"/>
  <c r="M2393" i="1"/>
  <c r="O2392" i="1"/>
  <c r="N2392" i="1"/>
  <c r="M2392" i="1"/>
  <c r="O2391" i="1"/>
  <c r="N2391" i="1"/>
  <c r="M2391" i="1"/>
  <c r="O2390" i="1"/>
  <c r="N2390" i="1"/>
  <c r="M2390" i="1"/>
  <c r="O2389" i="1"/>
  <c r="N2389" i="1"/>
  <c r="M2389" i="1"/>
  <c r="O2388" i="1"/>
  <c r="N2388" i="1"/>
  <c r="M2388" i="1"/>
  <c r="O2387" i="1"/>
  <c r="N2387" i="1"/>
  <c r="M2387" i="1"/>
  <c r="O2386" i="1"/>
  <c r="N2386" i="1"/>
  <c r="M2386" i="1"/>
  <c r="O2385" i="1"/>
  <c r="N2385" i="1"/>
  <c r="M2385" i="1"/>
  <c r="O2384" i="1"/>
  <c r="N2384" i="1"/>
  <c r="M2384" i="1"/>
  <c r="O2383" i="1"/>
  <c r="N2383" i="1"/>
  <c r="M2383" i="1"/>
  <c r="O2382" i="1"/>
  <c r="N2382" i="1"/>
  <c r="M2382" i="1"/>
  <c r="O2381" i="1"/>
  <c r="N2381" i="1"/>
  <c r="M2381" i="1"/>
  <c r="O2380" i="1"/>
  <c r="N2380" i="1"/>
  <c r="M2380" i="1"/>
  <c r="O2379" i="1"/>
  <c r="N2379" i="1"/>
  <c r="M2379" i="1"/>
  <c r="O2378" i="1"/>
  <c r="N2378" i="1"/>
  <c r="M2378" i="1"/>
  <c r="O2377" i="1"/>
  <c r="N2377" i="1"/>
  <c r="M2377" i="1"/>
  <c r="O2376" i="1"/>
  <c r="N2376" i="1"/>
  <c r="M2376" i="1"/>
  <c r="O2375" i="1"/>
  <c r="N2375" i="1"/>
  <c r="M2375" i="1"/>
  <c r="O2374" i="1"/>
  <c r="N2374" i="1"/>
  <c r="M2374" i="1"/>
  <c r="O2373" i="1"/>
  <c r="N2373" i="1"/>
  <c r="M2373" i="1"/>
  <c r="O2372" i="1"/>
  <c r="N2372" i="1"/>
  <c r="M2372" i="1"/>
  <c r="O2371" i="1"/>
  <c r="N2371" i="1"/>
  <c r="M2371" i="1"/>
  <c r="O2370" i="1"/>
  <c r="N2370" i="1"/>
  <c r="M2370" i="1"/>
  <c r="O2369" i="1"/>
  <c r="N2369" i="1"/>
  <c r="M2369" i="1"/>
  <c r="O2368" i="1"/>
  <c r="N2368" i="1"/>
  <c r="M2368" i="1"/>
  <c r="O2367" i="1"/>
  <c r="N2367" i="1"/>
  <c r="M2367" i="1"/>
  <c r="O2366" i="1"/>
  <c r="N2366" i="1"/>
  <c r="M2366" i="1"/>
  <c r="O2365" i="1"/>
  <c r="N2365" i="1"/>
  <c r="M2365" i="1"/>
  <c r="O2364" i="1"/>
  <c r="N2364" i="1"/>
  <c r="M2364" i="1"/>
  <c r="O2363" i="1"/>
  <c r="N2363" i="1"/>
  <c r="M2363" i="1"/>
  <c r="O2362" i="1"/>
  <c r="N2362" i="1"/>
  <c r="M2362" i="1"/>
  <c r="O2361" i="1"/>
  <c r="N2361" i="1"/>
  <c r="M2361" i="1"/>
  <c r="O2360" i="1"/>
  <c r="N2360" i="1"/>
  <c r="M2360" i="1"/>
  <c r="O2359" i="1"/>
  <c r="N2359" i="1"/>
  <c r="M2359" i="1"/>
  <c r="O2358" i="1"/>
  <c r="N2358" i="1"/>
  <c r="M2358" i="1"/>
  <c r="O2357" i="1"/>
  <c r="N2357" i="1"/>
  <c r="M2357" i="1"/>
  <c r="O2356" i="1"/>
  <c r="N2356" i="1"/>
  <c r="M2356" i="1"/>
  <c r="O2355" i="1"/>
  <c r="N2355" i="1"/>
  <c r="M2355" i="1"/>
  <c r="O2354" i="1"/>
  <c r="N2354" i="1"/>
  <c r="M2354" i="1"/>
  <c r="O2353" i="1"/>
  <c r="N2353" i="1"/>
  <c r="M2353" i="1"/>
  <c r="O2352" i="1"/>
  <c r="N2352" i="1"/>
  <c r="M2352" i="1"/>
  <c r="O2351" i="1"/>
  <c r="N2351" i="1"/>
  <c r="M2351" i="1"/>
  <c r="O2350" i="1"/>
  <c r="N2350" i="1"/>
  <c r="M2350" i="1"/>
  <c r="O2349" i="1"/>
  <c r="N2349" i="1"/>
  <c r="M2349" i="1"/>
  <c r="O2348" i="1"/>
  <c r="N2348" i="1"/>
  <c r="M2348" i="1"/>
  <c r="O2347" i="1"/>
  <c r="N2347" i="1"/>
  <c r="M2347" i="1"/>
  <c r="O2346" i="1"/>
  <c r="N2346" i="1"/>
  <c r="M2346" i="1"/>
  <c r="O2345" i="1"/>
  <c r="N2345" i="1"/>
  <c r="M2345" i="1"/>
  <c r="O2344" i="1"/>
  <c r="N2344" i="1"/>
  <c r="M2344" i="1"/>
  <c r="O2343" i="1"/>
  <c r="N2343" i="1"/>
  <c r="M2343" i="1"/>
  <c r="O2342" i="1"/>
  <c r="N2342" i="1"/>
  <c r="M2342" i="1"/>
  <c r="O2341" i="1"/>
  <c r="N2341" i="1"/>
  <c r="M2341" i="1"/>
  <c r="O2340" i="1"/>
  <c r="N2340" i="1"/>
  <c r="M2340" i="1"/>
  <c r="O2339" i="1"/>
  <c r="N2339" i="1"/>
  <c r="M2339" i="1"/>
  <c r="O2338" i="1"/>
  <c r="N2338" i="1"/>
  <c r="M2338" i="1"/>
  <c r="O2337" i="1"/>
  <c r="N2337" i="1"/>
  <c r="M2337" i="1"/>
  <c r="O2336" i="1"/>
  <c r="N2336" i="1"/>
  <c r="M2336" i="1"/>
  <c r="O2335" i="1"/>
  <c r="N2335" i="1"/>
  <c r="M2335" i="1"/>
  <c r="O2334" i="1"/>
  <c r="N2334" i="1"/>
  <c r="M2334" i="1"/>
  <c r="O2333" i="1"/>
  <c r="N2333" i="1"/>
  <c r="M2333" i="1"/>
  <c r="O2332" i="1"/>
  <c r="N2332" i="1"/>
  <c r="M2332" i="1"/>
  <c r="O2331" i="1"/>
  <c r="N2331" i="1"/>
  <c r="M2331" i="1"/>
  <c r="O2330" i="1"/>
  <c r="N2330" i="1"/>
  <c r="M2330" i="1"/>
  <c r="O2329" i="1"/>
  <c r="N2329" i="1"/>
  <c r="M2329" i="1"/>
  <c r="O2328" i="1"/>
  <c r="N2328" i="1"/>
  <c r="M2328" i="1"/>
  <c r="O2327" i="1"/>
  <c r="N2327" i="1"/>
  <c r="M2327" i="1"/>
  <c r="O2326" i="1"/>
  <c r="N2326" i="1"/>
  <c r="M2326" i="1"/>
  <c r="O2325" i="1"/>
  <c r="N2325" i="1"/>
  <c r="M2325" i="1"/>
  <c r="O2324" i="1"/>
  <c r="N2324" i="1"/>
  <c r="M2324" i="1"/>
  <c r="O2323" i="1"/>
  <c r="N2323" i="1"/>
  <c r="M2323" i="1"/>
  <c r="O2322" i="1"/>
  <c r="N2322" i="1"/>
  <c r="M2322" i="1"/>
  <c r="O2321" i="1"/>
  <c r="N2321" i="1"/>
  <c r="M2321" i="1"/>
  <c r="O2320" i="1"/>
  <c r="N2320" i="1"/>
  <c r="M2320" i="1"/>
  <c r="O2319" i="1"/>
  <c r="N2319" i="1"/>
  <c r="M2319" i="1"/>
  <c r="O2318" i="1"/>
  <c r="N2318" i="1"/>
  <c r="M2318" i="1"/>
  <c r="O2317" i="1"/>
  <c r="N2317" i="1"/>
  <c r="M2317" i="1"/>
  <c r="O2316" i="1"/>
  <c r="N2316" i="1"/>
  <c r="M2316" i="1"/>
  <c r="O2315" i="1"/>
  <c r="N2315" i="1"/>
  <c r="M2315" i="1"/>
  <c r="O2314" i="1"/>
  <c r="N2314" i="1"/>
  <c r="M2314" i="1"/>
  <c r="O2313" i="1"/>
  <c r="N2313" i="1"/>
  <c r="M2313" i="1"/>
  <c r="O2312" i="1"/>
  <c r="N2312" i="1"/>
  <c r="M2312" i="1"/>
  <c r="O2311" i="1"/>
  <c r="N2311" i="1"/>
  <c r="M2311" i="1"/>
  <c r="O2310" i="1"/>
  <c r="N2310" i="1"/>
  <c r="M2310" i="1"/>
  <c r="O2309" i="1"/>
  <c r="N2309" i="1"/>
  <c r="M2309" i="1"/>
  <c r="O2308" i="1"/>
  <c r="N2308" i="1"/>
  <c r="M2308" i="1"/>
  <c r="O2307" i="1"/>
  <c r="N2307" i="1"/>
  <c r="M2307" i="1"/>
  <c r="O2306" i="1"/>
  <c r="N2306" i="1"/>
  <c r="M2306" i="1"/>
  <c r="O2305" i="1"/>
  <c r="N2305" i="1"/>
  <c r="M2305" i="1"/>
  <c r="O2304" i="1"/>
  <c r="N2304" i="1"/>
  <c r="M2304" i="1"/>
  <c r="O2303" i="1"/>
  <c r="N2303" i="1"/>
  <c r="M2303" i="1"/>
  <c r="O2302" i="1"/>
  <c r="N2302" i="1"/>
  <c r="M2302" i="1"/>
  <c r="O2301" i="1"/>
  <c r="N2301" i="1"/>
  <c r="M2301" i="1"/>
  <c r="O2300" i="1"/>
  <c r="N2300" i="1"/>
  <c r="M2300" i="1"/>
  <c r="O2299" i="1"/>
  <c r="N2299" i="1"/>
  <c r="M2299" i="1"/>
  <c r="O2298" i="1"/>
  <c r="N2298" i="1"/>
  <c r="M2298" i="1"/>
  <c r="O2297" i="1"/>
  <c r="N2297" i="1"/>
  <c r="M2297" i="1"/>
  <c r="O2296" i="1"/>
  <c r="N2296" i="1"/>
  <c r="M2296" i="1"/>
  <c r="O2295" i="1"/>
  <c r="N2295" i="1"/>
  <c r="M2295" i="1"/>
  <c r="O2294" i="1"/>
  <c r="N2294" i="1"/>
  <c r="M2294" i="1"/>
  <c r="O2293" i="1"/>
  <c r="N2293" i="1"/>
  <c r="M2293" i="1"/>
  <c r="O2292" i="1"/>
  <c r="N2292" i="1"/>
  <c r="M2292" i="1"/>
  <c r="O2291" i="1"/>
  <c r="N2291" i="1"/>
  <c r="M2291" i="1"/>
  <c r="O2290" i="1"/>
  <c r="N2290" i="1"/>
  <c r="M2290" i="1"/>
  <c r="O2289" i="1"/>
  <c r="N2289" i="1"/>
  <c r="M2289" i="1"/>
  <c r="O2288" i="1"/>
  <c r="N2288" i="1"/>
  <c r="M2288" i="1"/>
  <c r="O2287" i="1"/>
  <c r="N2287" i="1"/>
  <c r="M2287" i="1"/>
  <c r="O2286" i="1"/>
  <c r="N2286" i="1"/>
  <c r="M2286" i="1"/>
  <c r="O2285" i="1"/>
  <c r="N2285" i="1"/>
  <c r="M2285" i="1"/>
  <c r="O2284" i="1"/>
  <c r="N2284" i="1"/>
  <c r="M2284" i="1"/>
  <c r="O2283" i="1"/>
  <c r="N2283" i="1"/>
  <c r="M2283" i="1"/>
  <c r="O2282" i="1"/>
  <c r="N2282" i="1"/>
  <c r="M2282" i="1"/>
  <c r="O2281" i="1"/>
  <c r="N2281" i="1"/>
  <c r="M2281" i="1"/>
  <c r="O2280" i="1"/>
  <c r="N2280" i="1"/>
  <c r="M2280" i="1"/>
  <c r="O2279" i="1"/>
  <c r="N2279" i="1"/>
  <c r="M2279" i="1"/>
  <c r="O2278" i="1"/>
  <c r="N2278" i="1"/>
  <c r="M2278" i="1"/>
  <c r="O2277" i="1"/>
  <c r="N2277" i="1"/>
  <c r="M2277" i="1"/>
  <c r="O2276" i="1"/>
  <c r="N2276" i="1"/>
  <c r="M2276" i="1"/>
  <c r="O2275" i="1"/>
  <c r="N2275" i="1"/>
  <c r="M2275" i="1"/>
  <c r="O2274" i="1"/>
  <c r="N2274" i="1"/>
  <c r="M2274" i="1"/>
  <c r="O2273" i="1"/>
  <c r="N2273" i="1"/>
  <c r="M2273" i="1"/>
  <c r="O2272" i="1"/>
  <c r="N2272" i="1"/>
  <c r="M2272" i="1"/>
  <c r="O2271" i="1"/>
  <c r="N2271" i="1"/>
  <c r="M2271" i="1"/>
  <c r="O2270" i="1"/>
  <c r="N2270" i="1"/>
  <c r="M2270" i="1"/>
  <c r="O2269" i="1"/>
  <c r="N2269" i="1"/>
  <c r="M2269" i="1"/>
  <c r="O2268" i="1"/>
  <c r="N2268" i="1"/>
  <c r="M2268" i="1"/>
  <c r="O2267" i="1"/>
  <c r="N2267" i="1"/>
  <c r="M2267" i="1"/>
  <c r="O2266" i="1"/>
  <c r="N2266" i="1"/>
  <c r="M2266" i="1"/>
  <c r="O2265" i="1"/>
  <c r="N2265" i="1"/>
  <c r="M2265" i="1"/>
  <c r="O2264" i="1"/>
  <c r="N2264" i="1"/>
  <c r="M2264" i="1"/>
  <c r="O2263" i="1"/>
  <c r="N2263" i="1"/>
  <c r="M2263" i="1"/>
  <c r="O2262" i="1"/>
  <c r="N2262" i="1"/>
  <c r="M2262" i="1"/>
  <c r="O2261" i="1"/>
  <c r="N2261" i="1"/>
  <c r="M2261" i="1"/>
  <c r="O2260" i="1"/>
  <c r="N2260" i="1"/>
  <c r="M2260" i="1"/>
  <c r="O2259" i="1"/>
  <c r="N2259" i="1"/>
  <c r="M2259" i="1"/>
  <c r="O2258" i="1"/>
  <c r="N2258" i="1"/>
  <c r="M2258" i="1"/>
  <c r="O2257" i="1"/>
  <c r="N2257" i="1"/>
  <c r="M2257" i="1"/>
  <c r="O2256" i="1"/>
  <c r="N2256" i="1"/>
  <c r="M2256" i="1"/>
  <c r="O2255" i="1"/>
  <c r="N2255" i="1"/>
  <c r="M2255" i="1"/>
  <c r="O2254" i="1"/>
  <c r="N2254" i="1"/>
  <c r="M2254" i="1"/>
  <c r="O2253" i="1"/>
  <c r="N2253" i="1"/>
  <c r="M2253" i="1"/>
  <c r="O2252" i="1"/>
  <c r="N2252" i="1"/>
  <c r="M2252" i="1"/>
  <c r="O2251" i="1"/>
  <c r="N2251" i="1"/>
  <c r="M2251" i="1"/>
  <c r="O2250" i="1"/>
  <c r="N2250" i="1"/>
  <c r="M2250" i="1"/>
  <c r="O2249" i="1"/>
  <c r="N2249" i="1"/>
  <c r="M2249" i="1"/>
  <c r="O2248" i="1"/>
  <c r="N2248" i="1"/>
  <c r="M2248" i="1"/>
  <c r="O2247" i="1"/>
  <c r="N2247" i="1"/>
  <c r="M2247" i="1"/>
  <c r="O2246" i="1"/>
  <c r="N2246" i="1"/>
  <c r="M2246" i="1"/>
  <c r="O2245" i="1"/>
  <c r="N2245" i="1"/>
  <c r="M2245" i="1"/>
  <c r="O2244" i="1"/>
  <c r="N2244" i="1"/>
  <c r="M2244" i="1"/>
  <c r="O2243" i="1"/>
  <c r="N2243" i="1"/>
  <c r="M2243" i="1"/>
  <c r="O2242" i="1"/>
  <c r="N2242" i="1"/>
  <c r="M2242" i="1"/>
  <c r="O2241" i="1"/>
  <c r="N2241" i="1"/>
  <c r="M2241" i="1"/>
  <c r="O2240" i="1"/>
  <c r="N2240" i="1"/>
  <c r="M2240" i="1"/>
  <c r="O2239" i="1"/>
  <c r="N2239" i="1"/>
  <c r="M2239" i="1"/>
  <c r="O2238" i="1"/>
  <c r="N2238" i="1"/>
  <c r="M2238" i="1"/>
  <c r="O2237" i="1"/>
  <c r="N2237" i="1"/>
  <c r="M2237" i="1"/>
  <c r="O2236" i="1"/>
  <c r="N2236" i="1"/>
  <c r="M2236" i="1"/>
  <c r="O2235" i="1"/>
  <c r="N2235" i="1"/>
  <c r="M2235" i="1"/>
  <c r="O2234" i="1"/>
  <c r="N2234" i="1"/>
  <c r="M2234" i="1"/>
  <c r="O2233" i="1"/>
  <c r="N2233" i="1"/>
  <c r="M2233" i="1"/>
  <c r="O2232" i="1"/>
  <c r="N2232" i="1"/>
  <c r="M2232" i="1"/>
  <c r="O2231" i="1"/>
  <c r="N2231" i="1"/>
  <c r="M2231" i="1"/>
  <c r="O2230" i="1"/>
  <c r="N2230" i="1"/>
  <c r="M2230" i="1"/>
  <c r="O2229" i="1"/>
  <c r="N2229" i="1"/>
  <c r="M2229" i="1"/>
  <c r="O2228" i="1"/>
  <c r="N2228" i="1"/>
  <c r="M2228" i="1"/>
  <c r="O2227" i="1"/>
  <c r="N2227" i="1"/>
  <c r="M2227" i="1"/>
  <c r="O2226" i="1"/>
  <c r="N2226" i="1"/>
  <c r="M2226" i="1"/>
  <c r="O2225" i="1"/>
  <c r="N2225" i="1"/>
  <c r="M2225" i="1"/>
  <c r="O2224" i="1"/>
  <c r="N2224" i="1"/>
  <c r="M2224" i="1"/>
  <c r="O2223" i="1"/>
  <c r="N2223" i="1"/>
  <c r="M2223" i="1"/>
  <c r="O2222" i="1"/>
  <c r="N2222" i="1"/>
  <c r="M2222" i="1"/>
  <c r="O2221" i="1"/>
  <c r="N2221" i="1"/>
  <c r="M2221" i="1"/>
  <c r="O2220" i="1"/>
  <c r="N2220" i="1"/>
  <c r="M2220" i="1"/>
  <c r="O2219" i="1"/>
  <c r="N2219" i="1"/>
  <c r="M2219" i="1"/>
  <c r="O2218" i="1"/>
  <c r="N2218" i="1"/>
  <c r="M2218" i="1"/>
  <c r="O2217" i="1"/>
  <c r="N2217" i="1"/>
  <c r="M2217" i="1"/>
  <c r="O2216" i="1"/>
  <c r="N2216" i="1"/>
  <c r="M2216" i="1"/>
  <c r="O2215" i="1"/>
  <c r="N2215" i="1"/>
  <c r="M2215" i="1"/>
  <c r="O2214" i="1"/>
  <c r="N2214" i="1"/>
  <c r="M2214" i="1"/>
  <c r="O2213" i="1"/>
  <c r="N2213" i="1"/>
  <c r="M2213" i="1"/>
  <c r="O2212" i="1"/>
  <c r="N2212" i="1"/>
  <c r="M2212" i="1"/>
  <c r="O2211" i="1"/>
  <c r="N2211" i="1"/>
  <c r="M2211" i="1"/>
  <c r="O2210" i="1"/>
  <c r="N2210" i="1"/>
  <c r="M2210" i="1"/>
  <c r="O2209" i="1"/>
  <c r="N2209" i="1"/>
  <c r="M2209" i="1"/>
  <c r="O2208" i="1"/>
  <c r="N2208" i="1"/>
  <c r="M2208" i="1"/>
  <c r="O2207" i="1"/>
  <c r="N2207" i="1"/>
  <c r="M2207" i="1"/>
  <c r="O2206" i="1"/>
  <c r="N2206" i="1"/>
  <c r="M2206" i="1"/>
  <c r="O2205" i="1"/>
  <c r="N2205" i="1"/>
  <c r="M2205" i="1"/>
  <c r="O2204" i="1"/>
  <c r="N2204" i="1"/>
  <c r="M2204" i="1"/>
  <c r="O2203" i="1"/>
  <c r="N2203" i="1"/>
  <c r="M2203" i="1"/>
  <c r="O2202" i="1"/>
  <c r="N2202" i="1"/>
  <c r="M2202" i="1"/>
  <c r="O2201" i="1"/>
  <c r="N2201" i="1"/>
  <c r="M2201" i="1"/>
  <c r="O2200" i="1"/>
  <c r="N2200" i="1"/>
  <c r="M2200" i="1"/>
  <c r="O2199" i="1"/>
  <c r="N2199" i="1"/>
  <c r="M2199" i="1"/>
  <c r="O2198" i="1"/>
  <c r="N2198" i="1"/>
  <c r="M2198" i="1"/>
  <c r="O2197" i="1"/>
  <c r="N2197" i="1"/>
  <c r="M2197" i="1"/>
  <c r="O2196" i="1"/>
  <c r="N2196" i="1"/>
  <c r="M2196" i="1"/>
  <c r="O2195" i="1"/>
  <c r="N2195" i="1"/>
  <c r="M2195" i="1"/>
  <c r="O2194" i="1"/>
  <c r="N2194" i="1"/>
  <c r="M2194" i="1"/>
  <c r="O2193" i="1"/>
  <c r="N2193" i="1"/>
  <c r="M2193" i="1"/>
  <c r="O2192" i="1"/>
  <c r="N2192" i="1"/>
  <c r="M2192" i="1"/>
  <c r="O2191" i="1"/>
  <c r="N2191" i="1"/>
  <c r="M2191" i="1"/>
  <c r="O2190" i="1"/>
  <c r="N2190" i="1"/>
  <c r="M2190" i="1"/>
  <c r="O2189" i="1"/>
  <c r="N2189" i="1"/>
  <c r="M2189" i="1"/>
  <c r="O2188" i="1"/>
  <c r="N2188" i="1"/>
  <c r="M2188" i="1"/>
  <c r="O2187" i="1"/>
  <c r="N2187" i="1"/>
  <c r="M2187" i="1"/>
  <c r="O2186" i="1"/>
  <c r="N2186" i="1"/>
  <c r="M2186" i="1"/>
  <c r="O2185" i="1"/>
  <c r="N2185" i="1"/>
  <c r="M2185" i="1"/>
  <c r="O2184" i="1"/>
  <c r="N2184" i="1"/>
  <c r="M2184" i="1"/>
  <c r="O2183" i="1"/>
  <c r="N2183" i="1"/>
  <c r="M2183" i="1"/>
  <c r="O2182" i="1"/>
  <c r="N2182" i="1"/>
  <c r="M2182" i="1"/>
  <c r="O2181" i="1"/>
  <c r="N2181" i="1"/>
  <c r="M2181" i="1"/>
  <c r="O2180" i="1"/>
  <c r="N2180" i="1"/>
  <c r="M2180" i="1"/>
  <c r="O2179" i="1"/>
  <c r="N2179" i="1"/>
  <c r="M2179" i="1"/>
  <c r="O2178" i="1"/>
  <c r="N2178" i="1"/>
  <c r="M2178" i="1"/>
  <c r="O2177" i="1"/>
  <c r="N2177" i="1"/>
  <c r="M2177" i="1"/>
  <c r="O2176" i="1"/>
  <c r="N2176" i="1"/>
  <c r="M2176" i="1"/>
  <c r="O2175" i="1"/>
  <c r="N2175" i="1"/>
  <c r="M2175" i="1"/>
  <c r="O2174" i="1"/>
  <c r="N2174" i="1"/>
  <c r="M2174" i="1"/>
  <c r="O2173" i="1"/>
  <c r="N2173" i="1"/>
  <c r="M2173" i="1"/>
  <c r="O2172" i="1"/>
  <c r="N2172" i="1"/>
  <c r="M2172" i="1"/>
  <c r="O2171" i="1"/>
  <c r="N2171" i="1"/>
  <c r="M2171" i="1"/>
  <c r="O2170" i="1"/>
  <c r="N2170" i="1"/>
  <c r="M2170" i="1"/>
  <c r="O2169" i="1"/>
  <c r="N2169" i="1"/>
  <c r="M2169" i="1"/>
  <c r="O2168" i="1"/>
  <c r="N2168" i="1"/>
  <c r="M2168" i="1"/>
  <c r="O2167" i="1"/>
  <c r="N2167" i="1"/>
  <c r="M2167" i="1"/>
  <c r="O2166" i="1"/>
  <c r="N2166" i="1"/>
  <c r="M2166" i="1"/>
  <c r="O2165" i="1"/>
  <c r="N2165" i="1"/>
  <c r="M2165" i="1"/>
  <c r="O2164" i="1"/>
  <c r="N2164" i="1"/>
  <c r="M2164" i="1"/>
  <c r="O2163" i="1"/>
  <c r="N2163" i="1"/>
  <c r="M2163" i="1"/>
  <c r="O2162" i="1"/>
  <c r="N2162" i="1"/>
  <c r="M2162" i="1"/>
  <c r="O2161" i="1"/>
  <c r="N2161" i="1"/>
  <c r="M2161" i="1"/>
  <c r="O2160" i="1"/>
  <c r="N2160" i="1"/>
  <c r="M2160" i="1"/>
  <c r="O2159" i="1"/>
  <c r="N2159" i="1"/>
  <c r="M2159" i="1"/>
  <c r="O2158" i="1"/>
  <c r="N2158" i="1"/>
  <c r="M2158" i="1"/>
  <c r="O2157" i="1"/>
  <c r="N2157" i="1"/>
  <c r="M2157" i="1"/>
  <c r="O2156" i="1"/>
  <c r="N2156" i="1"/>
  <c r="M2156" i="1"/>
  <c r="O2155" i="1"/>
  <c r="N2155" i="1"/>
  <c r="M2155" i="1"/>
  <c r="O2154" i="1"/>
  <c r="N2154" i="1"/>
  <c r="M2154" i="1"/>
  <c r="O2153" i="1"/>
  <c r="N2153" i="1"/>
  <c r="M2153" i="1"/>
  <c r="O2152" i="1"/>
  <c r="N2152" i="1"/>
  <c r="M2152" i="1"/>
  <c r="O2151" i="1"/>
  <c r="N2151" i="1"/>
  <c r="M2151" i="1"/>
  <c r="O2150" i="1"/>
  <c r="N2150" i="1"/>
  <c r="M2150" i="1"/>
  <c r="O2149" i="1"/>
  <c r="N2149" i="1"/>
  <c r="M2149" i="1"/>
  <c r="O2148" i="1"/>
  <c r="N2148" i="1"/>
  <c r="M2148" i="1"/>
  <c r="O2147" i="1"/>
  <c r="N2147" i="1"/>
  <c r="M2147" i="1"/>
  <c r="O2146" i="1"/>
  <c r="N2146" i="1"/>
  <c r="M2146" i="1"/>
  <c r="O2145" i="1"/>
  <c r="N2145" i="1"/>
  <c r="M2145" i="1"/>
  <c r="O2144" i="1"/>
  <c r="N2144" i="1"/>
  <c r="M2144" i="1"/>
  <c r="O2143" i="1"/>
  <c r="N2143" i="1"/>
  <c r="M2143" i="1"/>
  <c r="O2142" i="1"/>
  <c r="N2142" i="1"/>
  <c r="M2142" i="1"/>
  <c r="O2141" i="1"/>
  <c r="N2141" i="1"/>
  <c r="M2141" i="1"/>
  <c r="O2140" i="1"/>
  <c r="N2140" i="1"/>
  <c r="M2140" i="1"/>
  <c r="O2139" i="1"/>
  <c r="N2139" i="1"/>
  <c r="M2139" i="1"/>
  <c r="O2138" i="1"/>
  <c r="N2138" i="1"/>
  <c r="M2138" i="1"/>
  <c r="O2137" i="1"/>
  <c r="N2137" i="1"/>
  <c r="M2137" i="1"/>
  <c r="O2136" i="1"/>
  <c r="N2136" i="1"/>
  <c r="M2136" i="1"/>
  <c r="O2135" i="1"/>
  <c r="N2135" i="1"/>
  <c r="M2135" i="1"/>
  <c r="O2134" i="1"/>
  <c r="N2134" i="1"/>
  <c r="M2134" i="1"/>
  <c r="O2133" i="1"/>
  <c r="N2133" i="1"/>
  <c r="M2133" i="1"/>
  <c r="O2132" i="1"/>
  <c r="N2132" i="1"/>
  <c r="M2132" i="1"/>
  <c r="O2131" i="1"/>
  <c r="N2131" i="1"/>
  <c r="M2131" i="1"/>
  <c r="O2130" i="1"/>
  <c r="N2130" i="1"/>
  <c r="M2130" i="1"/>
  <c r="O2129" i="1"/>
  <c r="N2129" i="1"/>
  <c r="M2129" i="1"/>
  <c r="O2128" i="1"/>
  <c r="N2128" i="1"/>
  <c r="M2128" i="1"/>
  <c r="O2127" i="1"/>
  <c r="N2127" i="1"/>
  <c r="M2127" i="1"/>
  <c r="O2126" i="1"/>
  <c r="N2126" i="1"/>
  <c r="M2126" i="1"/>
  <c r="O2125" i="1"/>
  <c r="N2125" i="1"/>
  <c r="M2125" i="1"/>
  <c r="O2124" i="1"/>
  <c r="N2124" i="1"/>
  <c r="M2124" i="1"/>
  <c r="O2123" i="1"/>
  <c r="N2123" i="1"/>
  <c r="M2123" i="1"/>
  <c r="O2122" i="1"/>
  <c r="N2122" i="1"/>
  <c r="M2122" i="1"/>
  <c r="O2121" i="1"/>
  <c r="N2121" i="1"/>
  <c r="M2121" i="1"/>
  <c r="O2120" i="1"/>
  <c r="N2120" i="1"/>
  <c r="M2120" i="1"/>
  <c r="O2119" i="1"/>
  <c r="N2119" i="1"/>
  <c r="M2119" i="1"/>
  <c r="O2118" i="1"/>
  <c r="N2118" i="1"/>
  <c r="M2118" i="1"/>
  <c r="O2117" i="1"/>
  <c r="N2117" i="1"/>
  <c r="M2117" i="1"/>
  <c r="O2116" i="1"/>
  <c r="N2116" i="1"/>
  <c r="M2116" i="1"/>
  <c r="O2115" i="1"/>
  <c r="N2115" i="1"/>
  <c r="M2115" i="1"/>
  <c r="O2114" i="1"/>
  <c r="N2114" i="1"/>
  <c r="M2114" i="1"/>
  <c r="O2113" i="1"/>
  <c r="N2113" i="1"/>
  <c r="M2113" i="1"/>
  <c r="O2112" i="1"/>
  <c r="N2112" i="1"/>
  <c r="M2112" i="1"/>
  <c r="O2111" i="1"/>
  <c r="N2111" i="1"/>
  <c r="M2111" i="1"/>
  <c r="O2110" i="1"/>
  <c r="N2110" i="1"/>
  <c r="M2110" i="1"/>
  <c r="O2109" i="1"/>
  <c r="N2109" i="1"/>
  <c r="M2109" i="1"/>
  <c r="O2108" i="1"/>
  <c r="N2108" i="1"/>
  <c r="M2108" i="1"/>
  <c r="O2107" i="1"/>
  <c r="N2107" i="1"/>
  <c r="M2107" i="1"/>
  <c r="O2106" i="1"/>
  <c r="N2106" i="1"/>
  <c r="M2106" i="1"/>
  <c r="O2105" i="1"/>
  <c r="N2105" i="1"/>
  <c r="M2105" i="1"/>
  <c r="O2104" i="1"/>
  <c r="N2104" i="1"/>
  <c r="M2104" i="1"/>
  <c r="O2103" i="1"/>
  <c r="N2103" i="1"/>
  <c r="M2103" i="1"/>
  <c r="O2102" i="1"/>
  <c r="N2102" i="1"/>
  <c r="M2102" i="1"/>
  <c r="O2101" i="1"/>
  <c r="N2101" i="1"/>
  <c r="M2101" i="1"/>
  <c r="O2100" i="1"/>
  <c r="N2100" i="1"/>
  <c r="M2100" i="1"/>
  <c r="O2099" i="1"/>
  <c r="N2099" i="1"/>
  <c r="M2099" i="1"/>
  <c r="O2098" i="1"/>
  <c r="N2098" i="1"/>
  <c r="M2098" i="1"/>
  <c r="O2097" i="1"/>
  <c r="N2097" i="1"/>
  <c r="M2097" i="1"/>
  <c r="O2096" i="1"/>
  <c r="N2096" i="1"/>
  <c r="M2096" i="1"/>
  <c r="O2095" i="1"/>
  <c r="N2095" i="1"/>
  <c r="M2095" i="1"/>
  <c r="O2094" i="1"/>
  <c r="N2094" i="1"/>
  <c r="M2094" i="1"/>
  <c r="O2093" i="1"/>
  <c r="N2093" i="1"/>
  <c r="M2093" i="1"/>
  <c r="O2092" i="1"/>
  <c r="N2092" i="1"/>
  <c r="M2092" i="1"/>
  <c r="O2091" i="1"/>
  <c r="N2091" i="1"/>
  <c r="M2091" i="1"/>
  <c r="O2090" i="1"/>
  <c r="N2090" i="1"/>
  <c r="M2090" i="1"/>
  <c r="O2089" i="1"/>
  <c r="N2089" i="1"/>
  <c r="M2089" i="1"/>
  <c r="O2088" i="1"/>
  <c r="N2088" i="1"/>
  <c r="M2088" i="1"/>
  <c r="O2087" i="1"/>
  <c r="N2087" i="1"/>
  <c r="M2087" i="1"/>
  <c r="O2086" i="1"/>
  <c r="N2086" i="1"/>
  <c r="M2086" i="1"/>
  <c r="O2085" i="1"/>
  <c r="N2085" i="1"/>
  <c r="M2085" i="1"/>
  <c r="O2084" i="1"/>
  <c r="N2084" i="1"/>
  <c r="M2084" i="1"/>
  <c r="O2083" i="1"/>
  <c r="N2083" i="1"/>
  <c r="M2083" i="1"/>
  <c r="O2082" i="1"/>
  <c r="N2082" i="1"/>
  <c r="M2082" i="1"/>
  <c r="O2081" i="1"/>
  <c r="N2081" i="1"/>
  <c r="M2081" i="1"/>
  <c r="O2080" i="1"/>
  <c r="N2080" i="1"/>
  <c r="M2080" i="1"/>
  <c r="O2079" i="1"/>
  <c r="N2079" i="1"/>
  <c r="M2079" i="1"/>
  <c r="O2078" i="1"/>
  <c r="N2078" i="1"/>
  <c r="M2078" i="1"/>
  <c r="O2077" i="1"/>
  <c r="N2077" i="1"/>
  <c r="M2077" i="1"/>
  <c r="O2076" i="1"/>
  <c r="N2076" i="1"/>
  <c r="M2076" i="1"/>
  <c r="O2075" i="1"/>
  <c r="N2075" i="1"/>
  <c r="M2075" i="1"/>
  <c r="O2074" i="1"/>
  <c r="N2074" i="1"/>
  <c r="M2074" i="1"/>
  <c r="O2073" i="1"/>
  <c r="N2073" i="1"/>
  <c r="M2073" i="1"/>
  <c r="O2072" i="1"/>
  <c r="N2072" i="1"/>
  <c r="M2072" i="1"/>
  <c r="O2071" i="1"/>
  <c r="N2071" i="1"/>
  <c r="M2071" i="1"/>
  <c r="O2070" i="1"/>
  <c r="N2070" i="1"/>
  <c r="M2070" i="1"/>
  <c r="O2069" i="1"/>
  <c r="N2069" i="1"/>
  <c r="M2069" i="1"/>
  <c r="O2068" i="1"/>
  <c r="N2068" i="1"/>
  <c r="M2068" i="1"/>
  <c r="O2067" i="1"/>
  <c r="N2067" i="1"/>
  <c r="M2067" i="1"/>
  <c r="O2066" i="1"/>
  <c r="N2066" i="1"/>
  <c r="M2066" i="1"/>
  <c r="O2065" i="1"/>
  <c r="N2065" i="1"/>
  <c r="M2065" i="1"/>
  <c r="O2064" i="1"/>
  <c r="N2064" i="1"/>
  <c r="M2064" i="1"/>
  <c r="O2063" i="1"/>
  <c r="N2063" i="1"/>
  <c r="M2063" i="1"/>
  <c r="O2062" i="1"/>
  <c r="N2062" i="1"/>
  <c r="M2062" i="1"/>
  <c r="O2061" i="1"/>
  <c r="N2061" i="1"/>
  <c r="M2061" i="1"/>
  <c r="O2060" i="1"/>
  <c r="N2060" i="1"/>
  <c r="M2060" i="1"/>
  <c r="O2059" i="1"/>
  <c r="N2059" i="1"/>
  <c r="M2059" i="1"/>
  <c r="O2058" i="1"/>
  <c r="N2058" i="1"/>
  <c r="M2058" i="1"/>
  <c r="O2057" i="1"/>
  <c r="N2057" i="1"/>
  <c r="M2057" i="1"/>
  <c r="O2056" i="1"/>
  <c r="N2056" i="1"/>
  <c r="M2056" i="1"/>
  <c r="O2055" i="1"/>
  <c r="N2055" i="1"/>
  <c r="M2055" i="1"/>
  <c r="O2054" i="1"/>
  <c r="N2054" i="1"/>
  <c r="M2054" i="1"/>
  <c r="O2053" i="1"/>
  <c r="N2053" i="1"/>
  <c r="M2053" i="1"/>
  <c r="O2052" i="1"/>
  <c r="N2052" i="1"/>
  <c r="M2052" i="1"/>
  <c r="O2051" i="1"/>
  <c r="N2051" i="1"/>
  <c r="M2051" i="1"/>
  <c r="O2050" i="1"/>
  <c r="N2050" i="1"/>
  <c r="M2050" i="1"/>
  <c r="O2049" i="1"/>
  <c r="N2049" i="1"/>
  <c r="M2049" i="1"/>
  <c r="O2048" i="1"/>
  <c r="N2048" i="1"/>
  <c r="M2048" i="1"/>
  <c r="O2047" i="1"/>
  <c r="N2047" i="1"/>
  <c r="M2047" i="1"/>
  <c r="O2046" i="1"/>
  <c r="N2046" i="1"/>
  <c r="M2046" i="1"/>
  <c r="O2045" i="1"/>
  <c r="N2045" i="1"/>
  <c r="M2045" i="1"/>
  <c r="O2044" i="1"/>
  <c r="N2044" i="1"/>
  <c r="M2044" i="1"/>
  <c r="O2043" i="1"/>
  <c r="N2043" i="1"/>
  <c r="M2043" i="1"/>
  <c r="O2042" i="1"/>
  <c r="N2042" i="1"/>
  <c r="M2042" i="1"/>
  <c r="O2041" i="1"/>
  <c r="N2041" i="1"/>
  <c r="M2041" i="1"/>
  <c r="O2040" i="1"/>
  <c r="N2040" i="1"/>
  <c r="M2040" i="1"/>
  <c r="O2039" i="1"/>
  <c r="N2039" i="1"/>
  <c r="M2039" i="1"/>
  <c r="O2038" i="1"/>
  <c r="N2038" i="1"/>
  <c r="M2038" i="1"/>
  <c r="O2037" i="1"/>
  <c r="N2037" i="1"/>
  <c r="M2037" i="1"/>
  <c r="O2036" i="1"/>
  <c r="N2036" i="1"/>
  <c r="M2036" i="1"/>
  <c r="O2035" i="1"/>
  <c r="N2035" i="1"/>
  <c r="M2035" i="1"/>
  <c r="O2034" i="1"/>
  <c r="N2034" i="1"/>
  <c r="M2034" i="1"/>
  <c r="O2033" i="1"/>
  <c r="N2033" i="1"/>
  <c r="M2033" i="1"/>
  <c r="O2032" i="1"/>
  <c r="N2032" i="1"/>
  <c r="M2032" i="1"/>
  <c r="O2031" i="1"/>
  <c r="N2031" i="1"/>
  <c r="M2031" i="1"/>
  <c r="O2030" i="1"/>
  <c r="N2030" i="1"/>
  <c r="M2030" i="1"/>
  <c r="O2029" i="1"/>
  <c r="N2029" i="1"/>
  <c r="M2029" i="1"/>
  <c r="O2028" i="1"/>
  <c r="N2028" i="1"/>
  <c r="M2028" i="1"/>
  <c r="O2027" i="1"/>
  <c r="N2027" i="1"/>
  <c r="M2027" i="1"/>
  <c r="O2026" i="1"/>
  <c r="N2026" i="1"/>
  <c r="M2026" i="1"/>
  <c r="O2025" i="1"/>
  <c r="N2025" i="1"/>
  <c r="M2025" i="1"/>
  <c r="O2024" i="1"/>
  <c r="N2024" i="1"/>
  <c r="M2024" i="1"/>
  <c r="O2023" i="1"/>
  <c r="N2023" i="1"/>
  <c r="M2023" i="1"/>
  <c r="O2022" i="1"/>
  <c r="N2022" i="1"/>
  <c r="M2022" i="1"/>
  <c r="O2021" i="1"/>
  <c r="N2021" i="1"/>
  <c r="M2021" i="1"/>
  <c r="O2020" i="1"/>
  <c r="N2020" i="1"/>
  <c r="M2020" i="1"/>
  <c r="O2019" i="1"/>
  <c r="N2019" i="1"/>
  <c r="M2019" i="1"/>
  <c r="O2018" i="1"/>
  <c r="N2018" i="1"/>
  <c r="M2018" i="1"/>
  <c r="O2017" i="1"/>
  <c r="N2017" i="1"/>
  <c r="M2017" i="1"/>
  <c r="O2016" i="1"/>
  <c r="N2016" i="1"/>
  <c r="M2016" i="1"/>
  <c r="O2015" i="1"/>
  <c r="N2015" i="1"/>
  <c r="M2015" i="1"/>
  <c r="O2014" i="1"/>
  <c r="N2014" i="1"/>
  <c r="M2014" i="1"/>
  <c r="O2013" i="1"/>
  <c r="N2013" i="1"/>
  <c r="M2013" i="1"/>
  <c r="O2012" i="1"/>
  <c r="N2012" i="1"/>
  <c r="M2012" i="1"/>
  <c r="O2011" i="1"/>
  <c r="N2011" i="1"/>
  <c r="M2011" i="1"/>
  <c r="O2010" i="1"/>
  <c r="N2010" i="1"/>
  <c r="M2010" i="1"/>
  <c r="O2009" i="1"/>
  <c r="N2009" i="1"/>
  <c r="M2009" i="1"/>
  <c r="O2008" i="1"/>
  <c r="N2008" i="1"/>
  <c r="M2008" i="1"/>
  <c r="O2007" i="1"/>
  <c r="N2007" i="1"/>
  <c r="M2007" i="1"/>
  <c r="O2006" i="1"/>
  <c r="N2006" i="1"/>
  <c r="M2006" i="1"/>
  <c r="O2005" i="1"/>
  <c r="N2005" i="1"/>
  <c r="M2005" i="1"/>
  <c r="O2004" i="1"/>
  <c r="N2004" i="1"/>
  <c r="M2004" i="1"/>
  <c r="O2003" i="1"/>
  <c r="N2003" i="1"/>
  <c r="M2003" i="1"/>
  <c r="O2002" i="1"/>
  <c r="N2002" i="1"/>
  <c r="M2002" i="1"/>
  <c r="O2001" i="1"/>
  <c r="N2001" i="1"/>
  <c r="M2001" i="1"/>
  <c r="O2000" i="1"/>
  <c r="N2000" i="1"/>
  <c r="M2000" i="1"/>
  <c r="O1999" i="1"/>
  <c r="N1999" i="1"/>
  <c r="M1999" i="1"/>
  <c r="O1998" i="1"/>
  <c r="N1998" i="1"/>
  <c r="M1998" i="1"/>
  <c r="O1997" i="1"/>
  <c r="N1997" i="1"/>
  <c r="M1997" i="1"/>
  <c r="O1996" i="1"/>
  <c r="N1996" i="1"/>
  <c r="M1996" i="1"/>
  <c r="O1995" i="1"/>
  <c r="N1995" i="1"/>
  <c r="M1995" i="1"/>
  <c r="O1994" i="1"/>
  <c r="N1994" i="1"/>
  <c r="M1994" i="1"/>
  <c r="O1993" i="1"/>
  <c r="N1993" i="1"/>
  <c r="M1993" i="1"/>
  <c r="O1992" i="1"/>
  <c r="N1992" i="1"/>
  <c r="M1992" i="1"/>
  <c r="O1991" i="1"/>
  <c r="N1991" i="1"/>
  <c r="M1991" i="1"/>
  <c r="O1990" i="1"/>
  <c r="N1990" i="1"/>
  <c r="M1990" i="1"/>
  <c r="O1989" i="1"/>
  <c r="N1989" i="1"/>
  <c r="M1989" i="1"/>
  <c r="O1988" i="1"/>
  <c r="N1988" i="1"/>
  <c r="M1988" i="1"/>
  <c r="O1987" i="1"/>
  <c r="N1987" i="1"/>
  <c r="M1987" i="1"/>
  <c r="O1986" i="1"/>
  <c r="N1986" i="1"/>
  <c r="M1986" i="1"/>
  <c r="O1985" i="1"/>
  <c r="N1985" i="1"/>
  <c r="M1985" i="1"/>
  <c r="O1984" i="1"/>
  <c r="N1984" i="1"/>
  <c r="M1984" i="1"/>
  <c r="O1983" i="1"/>
  <c r="N1983" i="1"/>
  <c r="M1983" i="1"/>
  <c r="O1982" i="1"/>
  <c r="N1982" i="1"/>
  <c r="M1982" i="1"/>
  <c r="O1981" i="1"/>
  <c r="N1981" i="1"/>
  <c r="M1981" i="1"/>
  <c r="O1980" i="1"/>
  <c r="N1980" i="1"/>
  <c r="M1980" i="1"/>
  <c r="O1979" i="1"/>
  <c r="N1979" i="1"/>
  <c r="M1979" i="1"/>
  <c r="O1978" i="1"/>
  <c r="N1978" i="1"/>
  <c r="M1978" i="1"/>
  <c r="O1977" i="1"/>
  <c r="N1977" i="1"/>
  <c r="M1977" i="1"/>
  <c r="O1976" i="1"/>
  <c r="N1976" i="1"/>
  <c r="M1976" i="1"/>
  <c r="O1975" i="1"/>
  <c r="N1975" i="1"/>
  <c r="M1975" i="1"/>
  <c r="O1974" i="1"/>
  <c r="N1974" i="1"/>
  <c r="M1974" i="1"/>
  <c r="O1973" i="1"/>
  <c r="N1973" i="1"/>
  <c r="M1973" i="1"/>
  <c r="O1972" i="1"/>
  <c r="N1972" i="1"/>
  <c r="M1972" i="1"/>
  <c r="O1971" i="1"/>
  <c r="N1971" i="1"/>
  <c r="M1971" i="1"/>
  <c r="O1970" i="1"/>
  <c r="N1970" i="1"/>
  <c r="M1970" i="1"/>
  <c r="O1969" i="1"/>
  <c r="N1969" i="1"/>
  <c r="M1969" i="1"/>
  <c r="O1968" i="1"/>
  <c r="N1968" i="1"/>
  <c r="M1968" i="1"/>
  <c r="O1967" i="1"/>
  <c r="N1967" i="1"/>
  <c r="M1967" i="1"/>
  <c r="O1966" i="1"/>
  <c r="N1966" i="1"/>
  <c r="M1966" i="1"/>
  <c r="O1965" i="1"/>
  <c r="N1965" i="1"/>
  <c r="M1965" i="1"/>
  <c r="O1964" i="1"/>
  <c r="N1964" i="1"/>
  <c r="M1964" i="1"/>
  <c r="O1963" i="1"/>
  <c r="N1963" i="1"/>
  <c r="M1963" i="1"/>
  <c r="O1962" i="1"/>
  <c r="N1962" i="1"/>
  <c r="M1962" i="1"/>
  <c r="O1961" i="1"/>
  <c r="N1961" i="1"/>
  <c r="M1961" i="1"/>
  <c r="O1960" i="1"/>
  <c r="N1960" i="1"/>
  <c r="M1960" i="1"/>
  <c r="O1959" i="1"/>
  <c r="N1959" i="1"/>
  <c r="M1959" i="1"/>
  <c r="O1958" i="1"/>
  <c r="N1958" i="1"/>
  <c r="M1958" i="1"/>
  <c r="O1957" i="1"/>
  <c r="N1957" i="1"/>
  <c r="M1957" i="1"/>
  <c r="O1956" i="1"/>
  <c r="N1956" i="1"/>
  <c r="M1956" i="1"/>
  <c r="O1955" i="1"/>
  <c r="N1955" i="1"/>
  <c r="M1955" i="1"/>
  <c r="O1954" i="1"/>
  <c r="N1954" i="1"/>
  <c r="M1954" i="1"/>
  <c r="O1953" i="1"/>
  <c r="N1953" i="1"/>
  <c r="M1953" i="1"/>
  <c r="O1952" i="1"/>
  <c r="N1952" i="1"/>
  <c r="M1952" i="1"/>
  <c r="O1951" i="1"/>
  <c r="N1951" i="1"/>
  <c r="M1951" i="1"/>
  <c r="O1950" i="1"/>
  <c r="N1950" i="1"/>
  <c r="M1950" i="1"/>
  <c r="O1949" i="1"/>
  <c r="N1949" i="1"/>
  <c r="M1949" i="1"/>
  <c r="O1948" i="1"/>
  <c r="N1948" i="1"/>
  <c r="M1948" i="1"/>
  <c r="O1947" i="1"/>
  <c r="N1947" i="1"/>
  <c r="M1947" i="1"/>
  <c r="O1946" i="1"/>
  <c r="N1946" i="1"/>
  <c r="M1946" i="1"/>
  <c r="O1945" i="1"/>
  <c r="N1945" i="1"/>
  <c r="M1945" i="1"/>
  <c r="O1944" i="1"/>
  <c r="N1944" i="1"/>
  <c r="M1944" i="1"/>
  <c r="O1943" i="1"/>
  <c r="N1943" i="1"/>
  <c r="M1943" i="1"/>
  <c r="O1942" i="1"/>
  <c r="N1942" i="1"/>
  <c r="M1942" i="1"/>
  <c r="O1941" i="1"/>
  <c r="N1941" i="1"/>
  <c r="M1941" i="1"/>
  <c r="O1940" i="1"/>
  <c r="N1940" i="1"/>
  <c r="M1940" i="1"/>
  <c r="O1939" i="1"/>
  <c r="N1939" i="1"/>
  <c r="M1939" i="1"/>
  <c r="O1938" i="1"/>
  <c r="N1938" i="1"/>
  <c r="M1938" i="1"/>
  <c r="O1937" i="1"/>
  <c r="N1937" i="1"/>
  <c r="M1937" i="1"/>
  <c r="O1936" i="1"/>
  <c r="N1936" i="1"/>
  <c r="M1936" i="1"/>
  <c r="O1935" i="1"/>
  <c r="N1935" i="1"/>
  <c r="M1935" i="1"/>
  <c r="O1934" i="1"/>
  <c r="N1934" i="1"/>
  <c r="M1934" i="1"/>
  <c r="O1933" i="1"/>
  <c r="N1933" i="1"/>
  <c r="M1933" i="1"/>
  <c r="O1932" i="1"/>
  <c r="N1932" i="1"/>
  <c r="M1932" i="1"/>
  <c r="O1931" i="1"/>
  <c r="N1931" i="1"/>
  <c r="M1931" i="1"/>
  <c r="O1930" i="1"/>
  <c r="N1930" i="1"/>
  <c r="M1930" i="1"/>
  <c r="O1929" i="1"/>
  <c r="N1929" i="1"/>
  <c r="M1929" i="1"/>
  <c r="O1928" i="1"/>
  <c r="N1928" i="1"/>
  <c r="M1928" i="1"/>
  <c r="O1927" i="1"/>
  <c r="N1927" i="1"/>
  <c r="M1927" i="1"/>
  <c r="O1926" i="1"/>
  <c r="N1926" i="1"/>
  <c r="M1926" i="1"/>
  <c r="O1925" i="1"/>
  <c r="N1925" i="1"/>
  <c r="M1925" i="1"/>
  <c r="O1924" i="1"/>
  <c r="N1924" i="1"/>
  <c r="M1924" i="1"/>
  <c r="O1923" i="1"/>
  <c r="N1923" i="1"/>
  <c r="M1923" i="1"/>
  <c r="O1922" i="1"/>
  <c r="N1922" i="1"/>
  <c r="M1922" i="1"/>
  <c r="O1921" i="1"/>
  <c r="N1921" i="1"/>
  <c r="M1921" i="1"/>
  <c r="O1920" i="1"/>
  <c r="N1920" i="1"/>
  <c r="M1920" i="1"/>
  <c r="O1919" i="1"/>
  <c r="N1919" i="1"/>
  <c r="M1919" i="1"/>
  <c r="O1918" i="1"/>
  <c r="N1918" i="1"/>
  <c r="M1918" i="1"/>
  <c r="O1917" i="1"/>
  <c r="N1917" i="1"/>
  <c r="M1917" i="1"/>
  <c r="O1916" i="1"/>
  <c r="N1916" i="1"/>
  <c r="M1916" i="1"/>
  <c r="O1915" i="1"/>
  <c r="N1915" i="1"/>
  <c r="M1915" i="1"/>
  <c r="O1914" i="1"/>
  <c r="N1914" i="1"/>
  <c r="M1914" i="1"/>
  <c r="O1913" i="1"/>
  <c r="N1913" i="1"/>
  <c r="M1913" i="1"/>
  <c r="O1912" i="1"/>
  <c r="N1912" i="1"/>
  <c r="M1912" i="1"/>
  <c r="O1911" i="1"/>
  <c r="N1911" i="1"/>
  <c r="M1911" i="1"/>
  <c r="O1910" i="1"/>
  <c r="N1910" i="1"/>
  <c r="M1910" i="1"/>
  <c r="O1909" i="1"/>
  <c r="N1909" i="1"/>
  <c r="M1909" i="1"/>
  <c r="O1908" i="1"/>
  <c r="N1908" i="1"/>
  <c r="M1908" i="1"/>
  <c r="O1907" i="1"/>
  <c r="N1907" i="1"/>
  <c r="M1907" i="1"/>
  <c r="O1906" i="1"/>
  <c r="N1906" i="1"/>
  <c r="M1906" i="1"/>
  <c r="O1905" i="1"/>
  <c r="N1905" i="1"/>
  <c r="M1905" i="1"/>
  <c r="O1904" i="1"/>
  <c r="N1904" i="1"/>
  <c r="M1904" i="1"/>
  <c r="O1903" i="1"/>
  <c r="N1903" i="1"/>
  <c r="M1903" i="1"/>
  <c r="O1902" i="1"/>
  <c r="N1902" i="1"/>
  <c r="M1902" i="1"/>
  <c r="O1901" i="1"/>
  <c r="N1901" i="1"/>
  <c r="M1901" i="1"/>
  <c r="O1900" i="1"/>
  <c r="N1900" i="1"/>
  <c r="M1900" i="1"/>
  <c r="O1899" i="1"/>
  <c r="N1899" i="1"/>
  <c r="M1899" i="1"/>
  <c r="O1898" i="1"/>
  <c r="N1898" i="1"/>
  <c r="M1898" i="1"/>
  <c r="O1897" i="1"/>
  <c r="N1897" i="1"/>
  <c r="M1897" i="1"/>
  <c r="O1896" i="1"/>
  <c r="N1896" i="1"/>
  <c r="M1896" i="1"/>
  <c r="O1895" i="1"/>
  <c r="N1895" i="1"/>
  <c r="M1895" i="1"/>
  <c r="O1894" i="1"/>
  <c r="N1894" i="1"/>
  <c r="M1894" i="1"/>
  <c r="O1893" i="1"/>
  <c r="N1893" i="1"/>
  <c r="M1893" i="1"/>
  <c r="O1892" i="1"/>
  <c r="N1892" i="1"/>
  <c r="M1892" i="1"/>
  <c r="O1891" i="1"/>
  <c r="N1891" i="1"/>
  <c r="M1891" i="1"/>
  <c r="O1890" i="1"/>
  <c r="N1890" i="1"/>
  <c r="M1890" i="1"/>
  <c r="O1889" i="1"/>
  <c r="N1889" i="1"/>
  <c r="M1889" i="1"/>
  <c r="O1888" i="1"/>
  <c r="N1888" i="1"/>
  <c r="M1888" i="1"/>
  <c r="O1887" i="1"/>
  <c r="N1887" i="1"/>
  <c r="M1887" i="1"/>
  <c r="O1886" i="1"/>
  <c r="N1886" i="1"/>
  <c r="M1886" i="1"/>
  <c r="O1885" i="1"/>
  <c r="N1885" i="1"/>
  <c r="M1885" i="1"/>
  <c r="O1884" i="1"/>
  <c r="N1884" i="1"/>
  <c r="M1884" i="1"/>
  <c r="O1883" i="1"/>
  <c r="N1883" i="1"/>
  <c r="M1883" i="1"/>
  <c r="O1882" i="1"/>
  <c r="N1882" i="1"/>
  <c r="M1882" i="1"/>
  <c r="O1881" i="1"/>
  <c r="N1881" i="1"/>
  <c r="M1881" i="1"/>
  <c r="O1880" i="1"/>
  <c r="N1880" i="1"/>
  <c r="M1880" i="1"/>
  <c r="O1879" i="1"/>
  <c r="N1879" i="1"/>
  <c r="M1879" i="1"/>
  <c r="O1878" i="1"/>
  <c r="N1878" i="1"/>
  <c r="M1878" i="1"/>
  <c r="O1877" i="1"/>
  <c r="N1877" i="1"/>
  <c r="M1877" i="1"/>
  <c r="O1876" i="1"/>
  <c r="N1876" i="1"/>
  <c r="M1876" i="1"/>
  <c r="O1875" i="1"/>
  <c r="N1875" i="1"/>
  <c r="M1875" i="1"/>
  <c r="O1874" i="1"/>
  <c r="N1874" i="1"/>
  <c r="M1874" i="1"/>
  <c r="O1873" i="1"/>
  <c r="N1873" i="1"/>
  <c r="M1873" i="1"/>
  <c r="O1872" i="1"/>
  <c r="N1872" i="1"/>
  <c r="M1872" i="1"/>
  <c r="O1871" i="1"/>
  <c r="N1871" i="1"/>
  <c r="M1871" i="1"/>
  <c r="O1870" i="1"/>
  <c r="N1870" i="1"/>
  <c r="M1870" i="1"/>
  <c r="O1869" i="1"/>
  <c r="N1869" i="1"/>
  <c r="M1869" i="1"/>
  <c r="O1868" i="1"/>
  <c r="N1868" i="1"/>
  <c r="M1868" i="1"/>
  <c r="O1867" i="1"/>
  <c r="N1867" i="1"/>
  <c r="M1867" i="1"/>
  <c r="O1866" i="1"/>
  <c r="N1866" i="1"/>
  <c r="M1866" i="1"/>
  <c r="O1865" i="1"/>
  <c r="N1865" i="1"/>
  <c r="M1865" i="1"/>
  <c r="O1864" i="1"/>
  <c r="N1864" i="1"/>
  <c r="M1864" i="1"/>
  <c r="O1863" i="1"/>
  <c r="N1863" i="1"/>
  <c r="M1863" i="1"/>
  <c r="O1862" i="1"/>
  <c r="N1862" i="1"/>
  <c r="M1862" i="1"/>
  <c r="O1861" i="1"/>
  <c r="N1861" i="1"/>
  <c r="M1861" i="1"/>
  <c r="O1860" i="1"/>
  <c r="N1860" i="1"/>
  <c r="M1860" i="1"/>
  <c r="O1859" i="1"/>
  <c r="N1859" i="1"/>
  <c r="M1859" i="1"/>
  <c r="O1858" i="1"/>
  <c r="N1858" i="1"/>
  <c r="M1858" i="1"/>
  <c r="O1857" i="1"/>
  <c r="N1857" i="1"/>
  <c r="M1857" i="1"/>
  <c r="O1856" i="1"/>
  <c r="N1856" i="1"/>
  <c r="M1856" i="1"/>
  <c r="O1855" i="1"/>
  <c r="N1855" i="1"/>
  <c r="M1855" i="1"/>
  <c r="O1854" i="1"/>
  <c r="N1854" i="1"/>
  <c r="M1854" i="1"/>
  <c r="O1853" i="1"/>
  <c r="N1853" i="1"/>
  <c r="M1853" i="1"/>
  <c r="O1852" i="1"/>
  <c r="N1852" i="1"/>
  <c r="M1852" i="1"/>
  <c r="O1851" i="1"/>
  <c r="N1851" i="1"/>
  <c r="M1851" i="1"/>
  <c r="O1850" i="1"/>
  <c r="N1850" i="1"/>
  <c r="M1850" i="1"/>
  <c r="O1849" i="1"/>
  <c r="N1849" i="1"/>
  <c r="M1849" i="1"/>
  <c r="O1848" i="1"/>
  <c r="N1848" i="1"/>
  <c r="M1848" i="1"/>
  <c r="O1847" i="1"/>
  <c r="N1847" i="1"/>
  <c r="M1847" i="1"/>
  <c r="O1846" i="1"/>
  <c r="N1846" i="1"/>
  <c r="M1846" i="1"/>
  <c r="O1845" i="1"/>
  <c r="N1845" i="1"/>
  <c r="M1845" i="1"/>
  <c r="O1844" i="1"/>
  <c r="N1844" i="1"/>
  <c r="M1844" i="1"/>
  <c r="O1843" i="1"/>
  <c r="N1843" i="1"/>
  <c r="M1843" i="1"/>
  <c r="O1842" i="1"/>
  <c r="N1842" i="1"/>
  <c r="M1842" i="1"/>
  <c r="O1841" i="1"/>
  <c r="N1841" i="1"/>
  <c r="M1841" i="1"/>
  <c r="O1840" i="1"/>
  <c r="N1840" i="1"/>
  <c r="M1840" i="1"/>
  <c r="O1839" i="1"/>
  <c r="N1839" i="1"/>
  <c r="M1839" i="1"/>
  <c r="O1838" i="1"/>
  <c r="N1838" i="1"/>
  <c r="M1838" i="1"/>
  <c r="O1837" i="1"/>
  <c r="N1837" i="1"/>
  <c r="M1837" i="1"/>
  <c r="O1836" i="1"/>
  <c r="N1836" i="1"/>
  <c r="M1836" i="1"/>
  <c r="O1835" i="1"/>
  <c r="N1835" i="1"/>
  <c r="M1835" i="1"/>
  <c r="O1834" i="1"/>
  <c r="N1834" i="1"/>
  <c r="M1834" i="1"/>
  <c r="O1833" i="1"/>
  <c r="N1833" i="1"/>
  <c r="M1833" i="1"/>
  <c r="O1832" i="1"/>
  <c r="N1832" i="1"/>
  <c r="M1832" i="1"/>
  <c r="O1831" i="1"/>
  <c r="N1831" i="1"/>
  <c r="M1831" i="1"/>
  <c r="O1830" i="1"/>
  <c r="N1830" i="1"/>
  <c r="M1830" i="1"/>
  <c r="O1829" i="1"/>
  <c r="N1829" i="1"/>
  <c r="M1829" i="1"/>
  <c r="O1828" i="1"/>
  <c r="N1828" i="1"/>
  <c r="M1828" i="1"/>
  <c r="O1827" i="1"/>
  <c r="N1827" i="1"/>
  <c r="M1827" i="1"/>
  <c r="O1826" i="1"/>
  <c r="N1826" i="1"/>
  <c r="M1826" i="1"/>
  <c r="O1825" i="1"/>
  <c r="N1825" i="1"/>
  <c r="M1825" i="1"/>
  <c r="O1824" i="1"/>
  <c r="N1824" i="1"/>
  <c r="M1824" i="1"/>
  <c r="O1823" i="1"/>
  <c r="N1823" i="1"/>
  <c r="M1823" i="1"/>
  <c r="O1822" i="1"/>
  <c r="N1822" i="1"/>
  <c r="M1822" i="1"/>
  <c r="O1821" i="1"/>
  <c r="N1821" i="1"/>
  <c r="M1821" i="1"/>
  <c r="O1820" i="1"/>
  <c r="N1820" i="1"/>
  <c r="M1820" i="1"/>
  <c r="O1819" i="1"/>
  <c r="N1819" i="1"/>
  <c r="M1819" i="1"/>
  <c r="O1818" i="1"/>
  <c r="N1818" i="1"/>
  <c r="M1818" i="1"/>
  <c r="O1817" i="1"/>
  <c r="N1817" i="1"/>
  <c r="M1817" i="1"/>
  <c r="O1816" i="1"/>
  <c r="N1816" i="1"/>
  <c r="M1816" i="1"/>
  <c r="O1815" i="1"/>
  <c r="N1815" i="1"/>
  <c r="M1815" i="1"/>
  <c r="O1814" i="1"/>
  <c r="N1814" i="1"/>
  <c r="M1814" i="1"/>
  <c r="O1813" i="1"/>
  <c r="N1813" i="1"/>
  <c r="M1813" i="1"/>
  <c r="O1812" i="1"/>
  <c r="N1812" i="1"/>
  <c r="M1812" i="1"/>
  <c r="O1811" i="1"/>
  <c r="N1811" i="1"/>
  <c r="M1811" i="1"/>
  <c r="O1810" i="1"/>
  <c r="N1810" i="1"/>
  <c r="M1810" i="1"/>
  <c r="O1809" i="1"/>
  <c r="N1809" i="1"/>
  <c r="M1809" i="1"/>
  <c r="O1808" i="1"/>
  <c r="N1808" i="1"/>
  <c r="M1808" i="1"/>
  <c r="O1807" i="1"/>
  <c r="N1807" i="1"/>
  <c r="M1807" i="1"/>
  <c r="O1806" i="1"/>
  <c r="N1806" i="1"/>
  <c r="M1806" i="1"/>
  <c r="O1805" i="1"/>
  <c r="N1805" i="1"/>
  <c r="M1805" i="1"/>
  <c r="O1804" i="1"/>
  <c r="N1804" i="1"/>
  <c r="M1804" i="1"/>
  <c r="O1803" i="1"/>
  <c r="N1803" i="1"/>
  <c r="M1803" i="1"/>
  <c r="O1802" i="1"/>
  <c r="N1802" i="1"/>
  <c r="M1802" i="1"/>
  <c r="O1801" i="1"/>
  <c r="N1801" i="1"/>
  <c r="M1801" i="1"/>
  <c r="O1800" i="1"/>
  <c r="N1800" i="1"/>
  <c r="M1800" i="1"/>
  <c r="O1799" i="1"/>
  <c r="N1799" i="1"/>
  <c r="M1799" i="1"/>
  <c r="O1798" i="1"/>
  <c r="N1798" i="1"/>
  <c r="M1798" i="1"/>
  <c r="O1797" i="1"/>
  <c r="N1797" i="1"/>
  <c r="M1797" i="1"/>
  <c r="O1796" i="1"/>
  <c r="N1796" i="1"/>
  <c r="M1796" i="1"/>
  <c r="O1795" i="1"/>
  <c r="N1795" i="1"/>
  <c r="M1795" i="1"/>
  <c r="O1794" i="1"/>
  <c r="N1794" i="1"/>
  <c r="M1794" i="1"/>
  <c r="O1793" i="1"/>
  <c r="N1793" i="1"/>
  <c r="M1793" i="1"/>
  <c r="O1792" i="1"/>
  <c r="N1792" i="1"/>
  <c r="M1792" i="1"/>
  <c r="O1791" i="1"/>
  <c r="N1791" i="1"/>
  <c r="M1791" i="1"/>
  <c r="O1790" i="1"/>
  <c r="N1790" i="1"/>
  <c r="M1790" i="1"/>
  <c r="O1789" i="1"/>
  <c r="N1789" i="1"/>
  <c r="M1789" i="1"/>
  <c r="O1788" i="1"/>
  <c r="N1788" i="1"/>
  <c r="M1788" i="1"/>
  <c r="O1787" i="1"/>
  <c r="N1787" i="1"/>
  <c r="M1787" i="1"/>
  <c r="O1786" i="1"/>
  <c r="N1786" i="1"/>
  <c r="M1786" i="1"/>
  <c r="O1785" i="1"/>
  <c r="N1785" i="1"/>
  <c r="M1785" i="1"/>
  <c r="O1784" i="1"/>
  <c r="N1784" i="1"/>
  <c r="M1784" i="1"/>
  <c r="O1783" i="1"/>
  <c r="N1783" i="1"/>
  <c r="M1783" i="1"/>
  <c r="O1782" i="1"/>
  <c r="N1782" i="1"/>
  <c r="M1782" i="1"/>
  <c r="O1781" i="1"/>
  <c r="N1781" i="1"/>
  <c r="M1781" i="1"/>
  <c r="O1780" i="1"/>
  <c r="N1780" i="1"/>
  <c r="M1780" i="1"/>
  <c r="O1779" i="1"/>
  <c r="N1779" i="1"/>
  <c r="M1779" i="1"/>
  <c r="O1778" i="1"/>
  <c r="N1778" i="1"/>
  <c r="M1778" i="1"/>
  <c r="O1777" i="1"/>
  <c r="N1777" i="1"/>
  <c r="M1777" i="1"/>
  <c r="O1776" i="1"/>
  <c r="N1776" i="1"/>
  <c r="M1776" i="1"/>
  <c r="O1775" i="1"/>
  <c r="N1775" i="1"/>
  <c r="M1775" i="1"/>
  <c r="O1774" i="1"/>
  <c r="N1774" i="1"/>
  <c r="M1774" i="1"/>
  <c r="O1773" i="1"/>
  <c r="N1773" i="1"/>
  <c r="M1773" i="1"/>
  <c r="O1772" i="1"/>
  <c r="N1772" i="1"/>
  <c r="M1772" i="1"/>
  <c r="O1771" i="1"/>
  <c r="N1771" i="1"/>
  <c r="M1771" i="1"/>
  <c r="O1770" i="1"/>
  <c r="N1770" i="1"/>
  <c r="M1770" i="1"/>
  <c r="O1769" i="1"/>
  <c r="N1769" i="1"/>
  <c r="M1769" i="1"/>
  <c r="O1768" i="1"/>
  <c r="N1768" i="1"/>
  <c r="M1768" i="1"/>
  <c r="O1767" i="1"/>
  <c r="N1767" i="1"/>
  <c r="M1767" i="1"/>
  <c r="O1766" i="1"/>
  <c r="N1766" i="1"/>
  <c r="M1766" i="1"/>
  <c r="O1765" i="1"/>
  <c r="N1765" i="1"/>
  <c r="M1765" i="1"/>
  <c r="O1764" i="1"/>
  <c r="N1764" i="1"/>
  <c r="M1764" i="1"/>
  <c r="O1763" i="1"/>
  <c r="N1763" i="1"/>
  <c r="M1763" i="1"/>
  <c r="O1762" i="1"/>
  <c r="N1762" i="1"/>
  <c r="M1762" i="1"/>
  <c r="O1761" i="1"/>
  <c r="N1761" i="1"/>
  <c r="M1761" i="1"/>
  <c r="O1760" i="1"/>
  <c r="N1760" i="1"/>
  <c r="M1760" i="1"/>
  <c r="O1759" i="1"/>
  <c r="N1759" i="1"/>
  <c r="M1759" i="1"/>
  <c r="O1758" i="1"/>
  <c r="N1758" i="1"/>
  <c r="M1758" i="1"/>
  <c r="O1757" i="1"/>
  <c r="N1757" i="1"/>
  <c r="M1757" i="1"/>
  <c r="O1756" i="1"/>
  <c r="N1756" i="1"/>
  <c r="M1756" i="1"/>
  <c r="O1755" i="1"/>
  <c r="N1755" i="1"/>
  <c r="M1755" i="1"/>
  <c r="O1754" i="1"/>
  <c r="N1754" i="1"/>
  <c r="M1754" i="1"/>
  <c r="O1753" i="1"/>
  <c r="N1753" i="1"/>
  <c r="M1753" i="1"/>
  <c r="O1752" i="1"/>
  <c r="N1752" i="1"/>
  <c r="M1752" i="1"/>
  <c r="O1751" i="1"/>
  <c r="N1751" i="1"/>
  <c r="M1751" i="1"/>
  <c r="O1750" i="1"/>
  <c r="N1750" i="1"/>
  <c r="M1750" i="1"/>
  <c r="O1749" i="1"/>
  <c r="N1749" i="1"/>
  <c r="M1749" i="1"/>
  <c r="O1748" i="1"/>
  <c r="N1748" i="1"/>
  <c r="M1748" i="1"/>
  <c r="O1747" i="1"/>
  <c r="N1747" i="1"/>
  <c r="M1747" i="1"/>
  <c r="O1746" i="1"/>
  <c r="N1746" i="1"/>
  <c r="M1746" i="1"/>
  <c r="O1745" i="1"/>
  <c r="N1745" i="1"/>
  <c r="M1745" i="1"/>
  <c r="O1744" i="1"/>
  <c r="N1744" i="1"/>
  <c r="M1744" i="1"/>
  <c r="O1743" i="1"/>
  <c r="N1743" i="1"/>
  <c r="M1743" i="1"/>
  <c r="O1742" i="1"/>
  <c r="N1742" i="1"/>
  <c r="M1742" i="1"/>
  <c r="O1741" i="1"/>
  <c r="N1741" i="1"/>
  <c r="M1741" i="1"/>
  <c r="O1740" i="1"/>
  <c r="N1740" i="1"/>
  <c r="M1740" i="1"/>
  <c r="O1739" i="1"/>
  <c r="N1739" i="1"/>
  <c r="M1739" i="1"/>
  <c r="O1738" i="1"/>
  <c r="N1738" i="1"/>
  <c r="M1738" i="1"/>
  <c r="O1737" i="1"/>
  <c r="N1737" i="1"/>
  <c r="M1737" i="1"/>
  <c r="O1736" i="1"/>
  <c r="N1736" i="1"/>
  <c r="M1736" i="1"/>
  <c r="O1735" i="1"/>
  <c r="N1735" i="1"/>
  <c r="M1735" i="1"/>
  <c r="O1734" i="1"/>
  <c r="N1734" i="1"/>
  <c r="M1734" i="1"/>
  <c r="O1733" i="1"/>
  <c r="N1733" i="1"/>
  <c r="M1733" i="1"/>
  <c r="O1732" i="1"/>
  <c r="N1732" i="1"/>
  <c r="M1732" i="1"/>
  <c r="O1731" i="1"/>
  <c r="N1731" i="1"/>
  <c r="M1731" i="1"/>
  <c r="O1730" i="1"/>
  <c r="N1730" i="1"/>
  <c r="M1730" i="1"/>
  <c r="O1729" i="1"/>
  <c r="N1729" i="1"/>
  <c r="M1729" i="1"/>
  <c r="O1728" i="1"/>
  <c r="N1728" i="1"/>
  <c r="M1728" i="1"/>
  <c r="O1727" i="1"/>
  <c r="N1727" i="1"/>
  <c r="M1727" i="1"/>
  <c r="O1726" i="1"/>
  <c r="N1726" i="1"/>
  <c r="M1726" i="1"/>
  <c r="O1725" i="1"/>
  <c r="N1725" i="1"/>
  <c r="M1725" i="1"/>
  <c r="O1724" i="1"/>
  <c r="N1724" i="1"/>
  <c r="M1724" i="1"/>
  <c r="O1723" i="1"/>
  <c r="N1723" i="1"/>
  <c r="M1723" i="1"/>
  <c r="O1722" i="1"/>
  <c r="N1722" i="1"/>
  <c r="M1722" i="1"/>
  <c r="O1721" i="1"/>
  <c r="N1721" i="1"/>
  <c r="M1721" i="1"/>
  <c r="O1720" i="1"/>
  <c r="N1720" i="1"/>
  <c r="M1720" i="1"/>
  <c r="O1719" i="1"/>
  <c r="N1719" i="1"/>
  <c r="M1719" i="1"/>
  <c r="O1718" i="1"/>
  <c r="N1718" i="1"/>
  <c r="M1718" i="1"/>
  <c r="O1717" i="1"/>
  <c r="N1717" i="1"/>
  <c r="M1717" i="1"/>
  <c r="O1716" i="1"/>
  <c r="N1716" i="1"/>
  <c r="M1716" i="1"/>
  <c r="O1715" i="1"/>
  <c r="N1715" i="1"/>
  <c r="M1715" i="1"/>
  <c r="O1714" i="1"/>
  <c r="N1714" i="1"/>
  <c r="M1714" i="1"/>
  <c r="O1713" i="1"/>
  <c r="N1713" i="1"/>
  <c r="M1713" i="1"/>
  <c r="O1712" i="1"/>
  <c r="N1712" i="1"/>
  <c r="M1712" i="1"/>
  <c r="O1711" i="1"/>
  <c r="N1711" i="1"/>
  <c r="M1711" i="1"/>
  <c r="O1710" i="1"/>
  <c r="N1710" i="1"/>
  <c r="M1710" i="1"/>
  <c r="O1709" i="1"/>
  <c r="N1709" i="1"/>
  <c r="M1709" i="1"/>
  <c r="O1708" i="1"/>
  <c r="N1708" i="1"/>
  <c r="M1708" i="1"/>
  <c r="O1707" i="1"/>
  <c r="N1707" i="1"/>
  <c r="M1707" i="1"/>
  <c r="O1706" i="1"/>
  <c r="N1706" i="1"/>
  <c r="M1706" i="1"/>
  <c r="O1705" i="1"/>
  <c r="N1705" i="1"/>
  <c r="M1705" i="1"/>
  <c r="O1704" i="1"/>
  <c r="N1704" i="1"/>
  <c r="M1704" i="1"/>
  <c r="O1703" i="1"/>
  <c r="N1703" i="1"/>
  <c r="M1703" i="1"/>
  <c r="O1702" i="1"/>
  <c r="N1702" i="1"/>
  <c r="M1702" i="1"/>
  <c r="O1701" i="1"/>
  <c r="N1701" i="1"/>
  <c r="M1701" i="1"/>
  <c r="O1700" i="1"/>
  <c r="N1700" i="1"/>
  <c r="M1700" i="1"/>
  <c r="O1699" i="1"/>
  <c r="N1699" i="1"/>
  <c r="M1699" i="1"/>
  <c r="O1698" i="1"/>
  <c r="N1698" i="1"/>
  <c r="M1698" i="1"/>
  <c r="O1697" i="1"/>
  <c r="N1697" i="1"/>
  <c r="M1697" i="1"/>
  <c r="O1696" i="1"/>
  <c r="N1696" i="1"/>
  <c r="M1696" i="1"/>
  <c r="O1695" i="1"/>
  <c r="N1695" i="1"/>
  <c r="M1695" i="1"/>
  <c r="O1694" i="1"/>
  <c r="N1694" i="1"/>
  <c r="M1694" i="1"/>
  <c r="O1693" i="1"/>
  <c r="N1693" i="1"/>
  <c r="M1693" i="1"/>
  <c r="O1692" i="1"/>
  <c r="N1692" i="1"/>
  <c r="M1692" i="1"/>
  <c r="O1691" i="1"/>
  <c r="N1691" i="1"/>
  <c r="M1691" i="1"/>
  <c r="O1690" i="1"/>
  <c r="N1690" i="1"/>
  <c r="M1690" i="1"/>
  <c r="O1689" i="1"/>
  <c r="N1689" i="1"/>
  <c r="M1689" i="1"/>
  <c r="O1688" i="1"/>
  <c r="N1688" i="1"/>
  <c r="M1688" i="1"/>
  <c r="O1687" i="1"/>
  <c r="N1687" i="1"/>
  <c r="M1687" i="1"/>
  <c r="O1686" i="1"/>
  <c r="N1686" i="1"/>
  <c r="M1686" i="1"/>
  <c r="O1685" i="1"/>
  <c r="N1685" i="1"/>
  <c r="M1685" i="1"/>
  <c r="O1684" i="1"/>
  <c r="N1684" i="1"/>
  <c r="M1684" i="1"/>
  <c r="O1683" i="1"/>
  <c r="N1683" i="1"/>
  <c r="M1683" i="1"/>
  <c r="O1682" i="1"/>
  <c r="N1682" i="1"/>
  <c r="M1682" i="1"/>
  <c r="O1681" i="1"/>
  <c r="N1681" i="1"/>
  <c r="M1681" i="1"/>
  <c r="O1680" i="1"/>
  <c r="N1680" i="1"/>
  <c r="M1680" i="1"/>
  <c r="O1679" i="1"/>
  <c r="N1679" i="1"/>
  <c r="M1679" i="1"/>
  <c r="O1678" i="1"/>
  <c r="N1678" i="1"/>
  <c r="M1678" i="1"/>
  <c r="O1677" i="1"/>
  <c r="N1677" i="1"/>
  <c r="M1677" i="1"/>
  <c r="O1676" i="1"/>
  <c r="N1676" i="1"/>
  <c r="M1676" i="1"/>
  <c r="O1675" i="1"/>
  <c r="N1675" i="1"/>
  <c r="M1675" i="1"/>
  <c r="O1674" i="1"/>
  <c r="N1674" i="1"/>
  <c r="M1674" i="1"/>
  <c r="O1673" i="1"/>
  <c r="N1673" i="1"/>
  <c r="M1673" i="1"/>
  <c r="O1672" i="1"/>
  <c r="N1672" i="1"/>
  <c r="M1672" i="1"/>
  <c r="O1671" i="1"/>
  <c r="N1671" i="1"/>
  <c r="M1671" i="1"/>
  <c r="O1670" i="1"/>
  <c r="N1670" i="1"/>
  <c r="M1670" i="1"/>
  <c r="O1669" i="1"/>
  <c r="N1669" i="1"/>
  <c r="M1669" i="1"/>
  <c r="O1668" i="1"/>
  <c r="N1668" i="1"/>
  <c r="M1668" i="1"/>
  <c r="O1667" i="1"/>
  <c r="N1667" i="1"/>
  <c r="M1667" i="1"/>
  <c r="O1666" i="1"/>
  <c r="N1666" i="1"/>
  <c r="M1666" i="1"/>
  <c r="O1665" i="1"/>
  <c r="N1665" i="1"/>
  <c r="M1665" i="1"/>
  <c r="O1664" i="1"/>
  <c r="N1664" i="1"/>
  <c r="M1664" i="1"/>
  <c r="O1663" i="1"/>
  <c r="N1663" i="1"/>
  <c r="M1663" i="1"/>
  <c r="O1662" i="1"/>
  <c r="N1662" i="1"/>
  <c r="M1662" i="1"/>
  <c r="O1661" i="1"/>
  <c r="N1661" i="1"/>
  <c r="M1661" i="1"/>
  <c r="O1660" i="1"/>
  <c r="N1660" i="1"/>
  <c r="M1660" i="1"/>
  <c r="O1659" i="1"/>
  <c r="N1659" i="1"/>
  <c r="M1659" i="1"/>
  <c r="O1658" i="1"/>
  <c r="N1658" i="1"/>
  <c r="M1658" i="1"/>
  <c r="O1657" i="1"/>
  <c r="N1657" i="1"/>
  <c r="M1657" i="1"/>
  <c r="O1656" i="1"/>
  <c r="N1656" i="1"/>
  <c r="M1656" i="1"/>
  <c r="O1655" i="1"/>
  <c r="N1655" i="1"/>
  <c r="M1655" i="1"/>
  <c r="O1654" i="1"/>
  <c r="N1654" i="1"/>
  <c r="M1654" i="1"/>
  <c r="O1653" i="1"/>
  <c r="N1653" i="1"/>
  <c r="M1653" i="1"/>
  <c r="O1652" i="1"/>
  <c r="N1652" i="1"/>
  <c r="M1652" i="1"/>
  <c r="O1651" i="1"/>
  <c r="N1651" i="1"/>
  <c r="M1651" i="1"/>
  <c r="O1650" i="1"/>
  <c r="N1650" i="1"/>
  <c r="M1650" i="1"/>
  <c r="O1649" i="1"/>
  <c r="N1649" i="1"/>
  <c r="M1649" i="1"/>
  <c r="O1648" i="1"/>
  <c r="N1648" i="1"/>
  <c r="M1648" i="1"/>
  <c r="O1647" i="1"/>
  <c r="N1647" i="1"/>
  <c r="M1647" i="1"/>
  <c r="O1646" i="1"/>
  <c r="N1646" i="1"/>
  <c r="M1646" i="1"/>
  <c r="O1645" i="1"/>
  <c r="N1645" i="1"/>
  <c r="M1645" i="1"/>
  <c r="O1644" i="1"/>
  <c r="N1644" i="1"/>
  <c r="M1644" i="1"/>
  <c r="O1643" i="1"/>
  <c r="N1643" i="1"/>
  <c r="M1643" i="1"/>
  <c r="O1642" i="1"/>
  <c r="N1642" i="1"/>
  <c r="M1642" i="1"/>
  <c r="O1641" i="1"/>
  <c r="N1641" i="1"/>
  <c r="M1641" i="1"/>
  <c r="O1640" i="1"/>
  <c r="N1640" i="1"/>
  <c r="M1640" i="1"/>
  <c r="O1639" i="1"/>
  <c r="N1639" i="1"/>
  <c r="M1639" i="1"/>
  <c r="O1638" i="1"/>
  <c r="N1638" i="1"/>
  <c r="M1638" i="1"/>
  <c r="O1637" i="1"/>
  <c r="N1637" i="1"/>
  <c r="M1637" i="1"/>
  <c r="O1636" i="1"/>
  <c r="N1636" i="1"/>
  <c r="M1636" i="1"/>
  <c r="O1635" i="1"/>
  <c r="N1635" i="1"/>
  <c r="M1635" i="1"/>
  <c r="O1634" i="1"/>
  <c r="N1634" i="1"/>
  <c r="M1634" i="1"/>
  <c r="O1633" i="1"/>
  <c r="N1633" i="1"/>
  <c r="M1633" i="1"/>
  <c r="O1632" i="1"/>
  <c r="N1632" i="1"/>
  <c r="M1632" i="1"/>
  <c r="O1631" i="1"/>
  <c r="N1631" i="1"/>
  <c r="M1631" i="1"/>
  <c r="O1630" i="1"/>
  <c r="N1630" i="1"/>
  <c r="M1630" i="1"/>
  <c r="O1629" i="1"/>
  <c r="N1629" i="1"/>
  <c r="M1629" i="1"/>
  <c r="O1628" i="1"/>
  <c r="N1628" i="1"/>
  <c r="M1628" i="1"/>
  <c r="O1627" i="1"/>
  <c r="N1627" i="1"/>
  <c r="M1627" i="1"/>
  <c r="O1626" i="1"/>
  <c r="N1626" i="1"/>
  <c r="M1626" i="1"/>
  <c r="O1625" i="1"/>
  <c r="N1625" i="1"/>
  <c r="M1625" i="1"/>
  <c r="O1624" i="1"/>
  <c r="N1624" i="1"/>
  <c r="M1624" i="1"/>
  <c r="O1623" i="1"/>
  <c r="N1623" i="1"/>
  <c r="M1623" i="1"/>
  <c r="O1622" i="1"/>
  <c r="N1622" i="1"/>
  <c r="M1622" i="1"/>
  <c r="O1621" i="1"/>
  <c r="N1621" i="1"/>
  <c r="M1621" i="1"/>
  <c r="O1620" i="1"/>
  <c r="N1620" i="1"/>
  <c r="M1620" i="1"/>
  <c r="O1619" i="1"/>
  <c r="N1619" i="1"/>
  <c r="M1619" i="1"/>
  <c r="O1618" i="1"/>
  <c r="N1618" i="1"/>
  <c r="M1618" i="1"/>
  <c r="O1617" i="1"/>
  <c r="N1617" i="1"/>
  <c r="M1617" i="1"/>
  <c r="O1616" i="1"/>
  <c r="N1616" i="1"/>
  <c r="M1616" i="1"/>
  <c r="O1615" i="1"/>
  <c r="N1615" i="1"/>
  <c r="M1615" i="1"/>
  <c r="O1614" i="1"/>
  <c r="N1614" i="1"/>
  <c r="M1614" i="1"/>
  <c r="O1613" i="1"/>
  <c r="N1613" i="1"/>
  <c r="M1613" i="1"/>
  <c r="O1612" i="1"/>
  <c r="N1612" i="1"/>
  <c r="M1612" i="1"/>
  <c r="O1611" i="1"/>
  <c r="N1611" i="1"/>
  <c r="M1611" i="1"/>
  <c r="O1610" i="1"/>
  <c r="N1610" i="1"/>
  <c r="M1610" i="1"/>
  <c r="O1609" i="1"/>
  <c r="N1609" i="1"/>
  <c r="M1609" i="1"/>
  <c r="O1608" i="1"/>
  <c r="N1608" i="1"/>
  <c r="M1608" i="1"/>
  <c r="O1607" i="1"/>
  <c r="N1607" i="1"/>
  <c r="M1607" i="1"/>
  <c r="O1606" i="1"/>
  <c r="N1606" i="1"/>
  <c r="M1606" i="1"/>
  <c r="O1605" i="1"/>
  <c r="N1605" i="1"/>
  <c r="M1605" i="1"/>
  <c r="O1604" i="1"/>
  <c r="N1604" i="1"/>
  <c r="M1604" i="1"/>
  <c r="O1603" i="1"/>
  <c r="N1603" i="1"/>
  <c r="M1603" i="1"/>
  <c r="O1602" i="1"/>
  <c r="N1602" i="1"/>
  <c r="M1602" i="1"/>
  <c r="O1601" i="1"/>
  <c r="N1601" i="1"/>
  <c r="M1601" i="1"/>
  <c r="O1600" i="1"/>
  <c r="N1600" i="1"/>
  <c r="M1600" i="1"/>
  <c r="O1599" i="1"/>
  <c r="N1599" i="1"/>
  <c r="M1599" i="1"/>
  <c r="O1598" i="1"/>
  <c r="N1598" i="1"/>
  <c r="M1598" i="1"/>
  <c r="O1597" i="1"/>
  <c r="N1597" i="1"/>
  <c r="M1597" i="1"/>
  <c r="O1596" i="1"/>
  <c r="N1596" i="1"/>
  <c r="M1596" i="1"/>
  <c r="O1595" i="1"/>
  <c r="N1595" i="1"/>
  <c r="M1595" i="1"/>
  <c r="O1594" i="1"/>
  <c r="N1594" i="1"/>
  <c r="M1594" i="1"/>
  <c r="O1593" i="1"/>
  <c r="N1593" i="1"/>
  <c r="M1593" i="1"/>
  <c r="O1592" i="1"/>
  <c r="N1592" i="1"/>
  <c r="M1592" i="1"/>
  <c r="O1591" i="1"/>
  <c r="N1591" i="1"/>
  <c r="M1591" i="1"/>
  <c r="O1590" i="1"/>
  <c r="N1590" i="1"/>
  <c r="M1590" i="1"/>
  <c r="O1589" i="1"/>
  <c r="N1589" i="1"/>
  <c r="M1589" i="1"/>
  <c r="O1588" i="1"/>
  <c r="N1588" i="1"/>
  <c r="M1588" i="1"/>
  <c r="O1587" i="1"/>
  <c r="N1587" i="1"/>
  <c r="M1587" i="1"/>
  <c r="O1586" i="1"/>
  <c r="N1586" i="1"/>
  <c r="M1586" i="1"/>
  <c r="O1585" i="1"/>
  <c r="N1585" i="1"/>
  <c r="M1585" i="1"/>
  <c r="O1584" i="1"/>
  <c r="N1584" i="1"/>
  <c r="M1584" i="1"/>
  <c r="O1583" i="1"/>
  <c r="N1583" i="1"/>
  <c r="M1583" i="1"/>
  <c r="O1582" i="1"/>
  <c r="N1582" i="1"/>
  <c r="M1582" i="1"/>
  <c r="O1581" i="1"/>
  <c r="N1581" i="1"/>
  <c r="M1581" i="1"/>
  <c r="O1580" i="1"/>
  <c r="N1580" i="1"/>
  <c r="M1580" i="1"/>
  <c r="O1579" i="1"/>
  <c r="N1579" i="1"/>
  <c r="M1579" i="1"/>
  <c r="O1578" i="1"/>
  <c r="N1578" i="1"/>
  <c r="M1578" i="1"/>
  <c r="O1577" i="1"/>
  <c r="N1577" i="1"/>
  <c r="M1577" i="1"/>
  <c r="O1576" i="1"/>
  <c r="N1576" i="1"/>
  <c r="M1576" i="1"/>
  <c r="O1575" i="1"/>
  <c r="N1575" i="1"/>
  <c r="M1575" i="1"/>
  <c r="O1574" i="1"/>
  <c r="N1574" i="1"/>
  <c r="M1574" i="1"/>
  <c r="O1573" i="1"/>
  <c r="N1573" i="1"/>
  <c r="M1573" i="1"/>
  <c r="O1572" i="1"/>
  <c r="N1572" i="1"/>
  <c r="M1572" i="1"/>
  <c r="O1571" i="1"/>
  <c r="N1571" i="1"/>
  <c r="M1571" i="1"/>
  <c r="O1570" i="1"/>
  <c r="N1570" i="1"/>
  <c r="M1570" i="1"/>
  <c r="O1569" i="1"/>
  <c r="N1569" i="1"/>
  <c r="M1569" i="1"/>
  <c r="O1568" i="1"/>
  <c r="N1568" i="1"/>
  <c r="M1568" i="1"/>
  <c r="O1567" i="1"/>
  <c r="N1567" i="1"/>
  <c r="M1567" i="1"/>
  <c r="O1566" i="1"/>
  <c r="N1566" i="1"/>
  <c r="M1566" i="1"/>
  <c r="O1565" i="1"/>
  <c r="N1565" i="1"/>
  <c r="M1565" i="1"/>
  <c r="O1564" i="1"/>
  <c r="N1564" i="1"/>
  <c r="M1564" i="1"/>
  <c r="O1563" i="1"/>
  <c r="N1563" i="1"/>
  <c r="M1563" i="1"/>
  <c r="O1562" i="1"/>
  <c r="N1562" i="1"/>
  <c r="M1562" i="1"/>
  <c r="O1561" i="1"/>
  <c r="N1561" i="1"/>
  <c r="M1561" i="1"/>
  <c r="O1560" i="1"/>
  <c r="N1560" i="1"/>
  <c r="M1560" i="1"/>
  <c r="O1559" i="1"/>
  <c r="N1559" i="1"/>
  <c r="M1559" i="1"/>
  <c r="O1558" i="1"/>
  <c r="N1558" i="1"/>
  <c r="M1558" i="1"/>
  <c r="O1557" i="1"/>
  <c r="N1557" i="1"/>
  <c r="M1557" i="1"/>
  <c r="O1556" i="1"/>
  <c r="N1556" i="1"/>
  <c r="M1556" i="1"/>
  <c r="O1555" i="1"/>
  <c r="N1555" i="1"/>
  <c r="M1555" i="1"/>
  <c r="O1554" i="1"/>
  <c r="N1554" i="1"/>
  <c r="M1554" i="1"/>
  <c r="O1553" i="1"/>
  <c r="N1553" i="1"/>
  <c r="M1553" i="1"/>
  <c r="O1552" i="1"/>
  <c r="N1552" i="1"/>
  <c r="M1552" i="1"/>
  <c r="O1551" i="1"/>
  <c r="N1551" i="1"/>
  <c r="M1551" i="1"/>
  <c r="O1550" i="1"/>
  <c r="N1550" i="1"/>
  <c r="M1550" i="1"/>
  <c r="O1549" i="1"/>
  <c r="N1549" i="1"/>
  <c r="M1549" i="1"/>
  <c r="O1548" i="1"/>
  <c r="N1548" i="1"/>
  <c r="M1548" i="1"/>
  <c r="O1547" i="1"/>
  <c r="N1547" i="1"/>
  <c r="M1547" i="1"/>
  <c r="O1546" i="1"/>
  <c r="N1546" i="1"/>
  <c r="M1546" i="1"/>
  <c r="O1545" i="1"/>
  <c r="N1545" i="1"/>
  <c r="M1545" i="1"/>
  <c r="O1544" i="1"/>
  <c r="N1544" i="1"/>
  <c r="M1544" i="1"/>
  <c r="O1543" i="1"/>
  <c r="N1543" i="1"/>
  <c r="M1543" i="1"/>
  <c r="O1542" i="1"/>
  <c r="N1542" i="1"/>
  <c r="M1542" i="1"/>
  <c r="O1541" i="1"/>
  <c r="N1541" i="1"/>
  <c r="M1541" i="1"/>
  <c r="O1540" i="1"/>
  <c r="N1540" i="1"/>
  <c r="M1540" i="1"/>
  <c r="O1539" i="1"/>
  <c r="N1539" i="1"/>
  <c r="M1539" i="1"/>
  <c r="O1538" i="1"/>
  <c r="N1538" i="1"/>
  <c r="M1538" i="1"/>
  <c r="O1537" i="1"/>
  <c r="N1537" i="1"/>
  <c r="M1537" i="1"/>
  <c r="O1536" i="1"/>
  <c r="N1536" i="1"/>
  <c r="M1536" i="1"/>
  <c r="O1535" i="1"/>
  <c r="N1535" i="1"/>
  <c r="M1535" i="1"/>
  <c r="O1534" i="1"/>
  <c r="N1534" i="1"/>
  <c r="M1534" i="1"/>
  <c r="O1533" i="1"/>
  <c r="N1533" i="1"/>
  <c r="M1533" i="1"/>
  <c r="O1532" i="1"/>
  <c r="N1532" i="1"/>
  <c r="M1532" i="1"/>
  <c r="O1531" i="1"/>
  <c r="N1531" i="1"/>
  <c r="M1531" i="1"/>
  <c r="O1530" i="1"/>
  <c r="N1530" i="1"/>
  <c r="M1530" i="1"/>
  <c r="O1529" i="1"/>
  <c r="N1529" i="1"/>
  <c r="M1529" i="1"/>
  <c r="O1528" i="1"/>
  <c r="N1528" i="1"/>
  <c r="M1528" i="1"/>
  <c r="O1527" i="1"/>
  <c r="N1527" i="1"/>
  <c r="M1527" i="1"/>
  <c r="O1526" i="1"/>
  <c r="N1526" i="1"/>
  <c r="M1526" i="1"/>
  <c r="O1525" i="1"/>
  <c r="N1525" i="1"/>
  <c r="M1525" i="1"/>
  <c r="O1524" i="1"/>
  <c r="N1524" i="1"/>
  <c r="M1524" i="1"/>
  <c r="O1523" i="1"/>
  <c r="N1523" i="1"/>
  <c r="M1523" i="1"/>
  <c r="O1522" i="1"/>
  <c r="N1522" i="1"/>
  <c r="M1522" i="1"/>
  <c r="O1521" i="1"/>
  <c r="N1521" i="1"/>
  <c r="M1521" i="1"/>
  <c r="O1520" i="1"/>
  <c r="N1520" i="1"/>
  <c r="M1520" i="1"/>
  <c r="O1519" i="1"/>
  <c r="N1519" i="1"/>
  <c r="M1519" i="1"/>
  <c r="O1518" i="1"/>
  <c r="N1518" i="1"/>
  <c r="M1518" i="1"/>
  <c r="O1517" i="1"/>
  <c r="N1517" i="1"/>
  <c r="M1517" i="1"/>
  <c r="O1516" i="1"/>
  <c r="N1516" i="1"/>
  <c r="M1516" i="1"/>
  <c r="O1515" i="1"/>
  <c r="N1515" i="1"/>
  <c r="M1515" i="1"/>
  <c r="O1514" i="1"/>
  <c r="N1514" i="1"/>
  <c r="M1514" i="1"/>
  <c r="O1513" i="1"/>
  <c r="N1513" i="1"/>
  <c r="M1513" i="1"/>
  <c r="O1512" i="1"/>
  <c r="N1512" i="1"/>
  <c r="M1512" i="1"/>
  <c r="O1511" i="1"/>
  <c r="N1511" i="1"/>
  <c r="M1511" i="1"/>
  <c r="O1510" i="1"/>
  <c r="N1510" i="1"/>
  <c r="M1510" i="1"/>
  <c r="O1509" i="1"/>
  <c r="N1509" i="1"/>
  <c r="M1509" i="1"/>
  <c r="O1508" i="1"/>
  <c r="N1508" i="1"/>
  <c r="M1508" i="1"/>
  <c r="O1507" i="1"/>
  <c r="N1507" i="1"/>
  <c r="M1507" i="1"/>
  <c r="O1506" i="1"/>
  <c r="N1506" i="1"/>
  <c r="M1506" i="1"/>
  <c r="O1505" i="1"/>
  <c r="N1505" i="1"/>
  <c r="M1505" i="1"/>
  <c r="O1504" i="1"/>
  <c r="N1504" i="1"/>
  <c r="M1504" i="1"/>
  <c r="O1503" i="1"/>
  <c r="N1503" i="1"/>
  <c r="M1503" i="1"/>
  <c r="O1502" i="1"/>
  <c r="N1502" i="1"/>
  <c r="M1502" i="1"/>
  <c r="O1501" i="1"/>
  <c r="N1501" i="1"/>
  <c r="M1501" i="1"/>
  <c r="O1500" i="1"/>
  <c r="N1500" i="1"/>
  <c r="M1500" i="1"/>
  <c r="O1499" i="1"/>
  <c r="N1499" i="1"/>
  <c r="M1499" i="1"/>
  <c r="O1498" i="1"/>
  <c r="N1498" i="1"/>
  <c r="M1498" i="1"/>
  <c r="O1497" i="1"/>
  <c r="N1497" i="1"/>
  <c r="M1497" i="1"/>
  <c r="O1496" i="1"/>
  <c r="N1496" i="1"/>
  <c r="M1496" i="1"/>
  <c r="O1495" i="1"/>
  <c r="N1495" i="1"/>
  <c r="M1495" i="1"/>
  <c r="O1494" i="1"/>
  <c r="N1494" i="1"/>
  <c r="M1494" i="1"/>
  <c r="O1493" i="1"/>
  <c r="N1493" i="1"/>
  <c r="M1493" i="1"/>
  <c r="O1492" i="1"/>
  <c r="N1492" i="1"/>
  <c r="M1492" i="1"/>
  <c r="O1491" i="1"/>
  <c r="N1491" i="1"/>
  <c r="M1491" i="1"/>
  <c r="O1490" i="1"/>
  <c r="N1490" i="1"/>
  <c r="M1490" i="1"/>
  <c r="O1489" i="1"/>
  <c r="N1489" i="1"/>
  <c r="M1489" i="1"/>
  <c r="O1488" i="1"/>
  <c r="N1488" i="1"/>
  <c r="M1488" i="1"/>
  <c r="O1487" i="1"/>
  <c r="N1487" i="1"/>
  <c r="M1487" i="1"/>
  <c r="O1486" i="1"/>
  <c r="N1486" i="1"/>
  <c r="M1486" i="1"/>
  <c r="O1485" i="1"/>
  <c r="N1485" i="1"/>
  <c r="M1485" i="1"/>
  <c r="O1484" i="1"/>
  <c r="N1484" i="1"/>
  <c r="M1484" i="1"/>
  <c r="O1483" i="1"/>
  <c r="N1483" i="1"/>
  <c r="M1483" i="1"/>
  <c r="O1482" i="1"/>
  <c r="N1482" i="1"/>
  <c r="M1482" i="1"/>
  <c r="O1481" i="1"/>
  <c r="N1481" i="1"/>
  <c r="M1481" i="1"/>
  <c r="O1480" i="1"/>
  <c r="N1480" i="1"/>
  <c r="M1480" i="1"/>
  <c r="O1479" i="1"/>
  <c r="N1479" i="1"/>
  <c r="M1479" i="1"/>
  <c r="O1478" i="1"/>
  <c r="N1478" i="1"/>
  <c r="M1478" i="1"/>
  <c r="O1477" i="1"/>
  <c r="N1477" i="1"/>
  <c r="M1477" i="1"/>
  <c r="O1476" i="1"/>
  <c r="N1476" i="1"/>
  <c r="M1476" i="1"/>
  <c r="O1475" i="1"/>
  <c r="N1475" i="1"/>
  <c r="M1475" i="1"/>
  <c r="O1474" i="1"/>
  <c r="N1474" i="1"/>
  <c r="M1474" i="1"/>
  <c r="O1473" i="1"/>
  <c r="N1473" i="1"/>
  <c r="M1473" i="1"/>
  <c r="O1472" i="1"/>
  <c r="N1472" i="1"/>
  <c r="M1472" i="1"/>
  <c r="O1471" i="1"/>
  <c r="N1471" i="1"/>
  <c r="M1471" i="1"/>
  <c r="O1470" i="1"/>
  <c r="N1470" i="1"/>
  <c r="M1470" i="1"/>
  <c r="O1469" i="1"/>
  <c r="N1469" i="1"/>
  <c r="M1469" i="1"/>
  <c r="O1468" i="1"/>
  <c r="N1468" i="1"/>
  <c r="M1468" i="1"/>
  <c r="O1467" i="1"/>
  <c r="N1467" i="1"/>
  <c r="M1467" i="1"/>
  <c r="O1466" i="1"/>
  <c r="N1466" i="1"/>
  <c r="M1466" i="1"/>
  <c r="O1465" i="1"/>
  <c r="N1465" i="1"/>
  <c r="M1465" i="1"/>
  <c r="O1464" i="1"/>
  <c r="N1464" i="1"/>
  <c r="M1464" i="1"/>
  <c r="O1463" i="1"/>
  <c r="N1463" i="1"/>
  <c r="M1463" i="1"/>
  <c r="O1462" i="1"/>
  <c r="N1462" i="1"/>
  <c r="M1462" i="1"/>
  <c r="O1461" i="1"/>
  <c r="N1461" i="1"/>
  <c r="M1461" i="1"/>
  <c r="O1460" i="1"/>
  <c r="N1460" i="1"/>
  <c r="M1460" i="1"/>
  <c r="O1459" i="1"/>
  <c r="N1459" i="1"/>
  <c r="M1459" i="1"/>
  <c r="O1458" i="1"/>
  <c r="N1458" i="1"/>
  <c r="M1458" i="1"/>
  <c r="O1457" i="1"/>
  <c r="N1457" i="1"/>
  <c r="M1457" i="1"/>
  <c r="O1456" i="1"/>
  <c r="N1456" i="1"/>
  <c r="M1456" i="1"/>
  <c r="O1455" i="1"/>
  <c r="N1455" i="1"/>
  <c r="M1455" i="1"/>
  <c r="O1454" i="1"/>
  <c r="N1454" i="1"/>
  <c r="M1454" i="1"/>
  <c r="O1453" i="1"/>
  <c r="N1453" i="1"/>
  <c r="M1453" i="1"/>
  <c r="O1452" i="1"/>
  <c r="N1452" i="1"/>
  <c r="M1452" i="1"/>
  <c r="O1451" i="1"/>
  <c r="N1451" i="1"/>
  <c r="M1451" i="1"/>
  <c r="O1450" i="1"/>
  <c r="N1450" i="1"/>
  <c r="M1450" i="1"/>
  <c r="O1449" i="1"/>
  <c r="N1449" i="1"/>
  <c r="M1449" i="1"/>
  <c r="O1448" i="1"/>
  <c r="N1448" i="1"/>
  <c r="M1448" i="1"/>
  <c r="O1447" i="1"/>
  <c r="N1447" i="1"/>
  <c r="M1447" i="1"/>
  <c r="O1446" i="1"/>
  <c r="N1446" i="1"/>
  <c r="M1446" i="1"/>
  <c r="O1445" i="1"/>
  <c r="N1445" i="1"/>
  <c r="M1445" i="1"/>
  <c r="O1444" i="1"/>
  <c r="N1444" i="1"/>
  <c r="M1444" i="1"/>
  <c r="O1443" i="1"/>
  <c r="N1443" i="1"/>
  <c r="M1443" i="1"/>
  <c r="O1442" i="1"/>
  <c r="N1442" i="1"/>
  <c r="M1442" i="1"/>
  <c r="O1441" i="1"/>
  <c r="N1441" i="1"/>
  <c r="M1441" i="1"/>
  <c r="O1440" i="1"/>
  <c r="N1440" i="1"/>
  <c r="M1440" i="1"/>
  <c r="O1439" i="1"/>
  <c r="N1439" i="1"/>
  <c r="M1439" i="1"/>
  <c r="O1438" i="1"/>
  <c r="N1438" i="1"/>
  <c r="M1438" i="1"/>
  <c r="O1437" i="1"/>
  <c r="N1437" i="1"/>
  <c r="M1437" i="1"/>
  <c r="O1436" i="1"/>
  <c r="N1436" i="1"/>
  <c r="M1436" i="1"/>
  <c r="O1435" i="1"/>
  <c r="N1435" i="1"/>
  <c r="M1435" i="1"/>
  <c r="O1434" i="1"/>
  <c r="N1434" i="1"/>
  <c r="M1434" i="1"/>
  <c r="O1433" i="1"/>
  <c r="N1433" i="1"/>
  <c r="M1433" i="1"/>
  <c r="O1432" i="1"/>
  <c r="N1432" i="1"/>
  <c r="M1432" i="1"/>
  <c r="O1431" i="1"/>
  <c r="N1431" i="1"/>
  <c r="M1431" i="1"/>
  <c r="O1430" i="1"/>
  <c r="N1430" i="1"/>
  <c r="M1430" i="1"/>
  <c r="O1429" i="1"/>
  <c r="N1429" i="1"/>
  <c r="M1429" i="1"/>
  <c r="O1428" i="1"/>
  <c r="N1428" i="1"/>
  <c r="M1428" i="1"/>
  <c r="O1427" i="1"/>
  <c r="N1427" i="1"/>
  <c r="M1427" i="1"/>
  <c r="O1426" i="1"/>
  <c r="N1426" i="1"/>
  <c r="M1426" i="1"/>
  <c r="O1425" i="1"/>
  <c r="N1425" i="1"/>
  <c r="M1425" i="1"/>
  <c r="O1424" i="1"/>
  <c r="N1424" i="1"/>
  <c r="M1424" i="1"/>
  <c r="O1423" i="1"/>
  <c r="N1423" i="1"/>
  <c r="M1423" i="1"/>
  <c r="O1422" i="1"/>
  <c r="N1422" i="1"/>
  <c r="M1422" i="1"/>
  <c r="O1421" i="1"/>
  <c r="N1421" i="1"/>
  <c r="M1421" i="1"/>
  <c r="O1420" i="1"/>
  <c r="N1420" i="1"/>
  <c r="M1420" i="1"/>
  <c r="O1419" i="1"/>
  <c r="N1419" i="1"/>
  <c r="M1419" i="1"/>
  <c r="O1418" i="1"/>
  <c r="N1418" i="1"/>
  <c r="M1418" i="1"/>
  <c r="O1417" i="1"/>
  <c r="N1417" i="1"/>
  <c r="M1417" i="1"/>
  <c r="O1416" i="1"/>
  <c r="N1416" i="1"/>
  <c r="M1416" i="1"/>
  <c r="O1415" i="1"/>
  <c r="N1415" i="1"/>
  <c r="M1415" i="1"/>
  <c r="O1414" i="1"/>
  <c r="N1414" i="1"/>
  <c r="M1414" i="1"/>
  <c r="O1413" i="1"/>
  <c r="N1413" i="1"/>
  <c r="M1413" i="1"/>
  <c r="O1412" i="1"/>
  <c r="N1412" i="1"/>
  <c r="M1412" i="1"/>
  <c r="O1411" i="1"/>
  <c r="N1411" i="1"/>
  <c r="M1411" i="1"/>
  <c r="O1410" i="1"/>
  <c r="N1410" i="1"/>
  <c r="M1410" i="1"/>
  <c r="O1409" i="1"/>
  <c r="N1409" i="1"/>
  <c r="M1409" i="1"/>
  <c r="O1408" i="1"/>
  <c r="N1408" i="1"/>
  <c r="M1408" i="1"/>
  <c r="O1407" i="1"/>
  <c r="N1407" i="1"/>
  <c r="M1407" i="1"/>
  <c r="O1406" i="1"/>
  <c r="N1406" i="1"/>
  <c r="M1406" i="1"/>
  <c r="O1405" i="1"/>
  <c r="N1405" i="1"/>
  <c r="M1405" i="1"/>
  <c r="O1404" i="1"/>
  <c r="N1404" i="1"/>
  <c r="M1404" i="1"/>
  <c r="O1403" i="1"/>
  <c r="N1403" i="1"/>
  <c r="M1403" i="1"/>
  <c r="O1402" i="1"/>
  <c r="N1402" i="1"/>
  <c r="M1402" i="1"/>
  <c r="O1401" i="1"/>
  <c r="N1401" i="1"/>
  <c r="M1401" i="1"/>
  <c r="O1400" i="1"/>
  <c r="N1400" i="1"/>
  <c r="M1400" i="1"/>
  <c r="O1399" i="1"/>
  <c r="N1399" i="1"/>
  <c r="M1399" i="1"/>
  <c r="O1398" i="1"/>
  <c r="N1398" i="1"/>
  <c r="M1398" i="1"/>
  <c r="O1397" i="1"/>
  <c r="N1397" i="1"/>
  <c r="M1397" i="1"/>
  <c r="O1396" i="1"/>
  <c r="N1396" i="1"/>
  <c r="M1396" i="1"/>
  <c r="O1395" i="1"/>
  <c r="N1395" i="1"/>
  <c r="M1395" i="1"/>
  <c r="O1394" i="1"/>
  <c r="N1394" i="1"/>
  <c r="M1394" i="1"/>
  <c r="O1393" i="1"/>
  <c r="N1393" i="1"/>
  <c r="M1393" i="1"/>
  <c r="O1392" i="1"/>
  <c r="N1392" i="1"/>
  <c r="M1392" i="1"/>
  <c r="O1391" i="1"/>
  <c r="N1391" i="1"/>
  <c r="M1391" i="1"/>
  <c r="O1390" i="1"/>
  <c r="N1390" i="1"/>
  <c r="M1390" i="1"/>
  <c r="O1389" i="1"/>
  <c r="N1389" i="1"/>
  <c r="M1389" i="1"/>
  <c r="O1388" i="1"/>
  <c r="N1388" i="1"/>
  <c r="M1388" i="1"/>
  <c r="O1387" i="1"/>
  <c r="N1387" i="1"/>
  <c r="M1387" i="1"/>
  <c r="O1386" i="1"/>
  <c r="N1386" i="1"/>
  <c r="M1386" i="1"/>
  <c r="O1385" i="1"/>
  <c r="N1385" i="1"/>
  <c r="M1385" i="1"/>
  <c r="O1384" i="1"/>
  <c r="N1384" i="1"/>
  <c r="M1384" i="1"/>
  <c r="O1383" i="1"/>
  <c r="N1383" i="1"/>
  <c r="M1383" i="1"/>
  <c r="O1382" i="1"/>
  <c r="N1382" i="1"/>
  <c r="M1382" i="1"/>
  <c r="O1381" i="1"/>
  <c r="N1381" i="1"/>
  <c r="M1381" i="1"/>
  <c r="O1380" i="1"/>
  <c r="N1380" i="1"/>
  <c r="M1380" i="1"/>
  <c r="O1379" i="1"/>
  <c r="N1379" i="1"/>
  <c r="M1379" i="1"/>
  <c r="O1378" i="1"/>
  <c r="N1378" i="1"/>
  <c r="M1378" i="1"/>
  <c r="O1377" i="1"/>
  <c r="N1377" i="1"/>
  <c r="M1377" i="1"/>
  <c r="O1376" i="1"/>
  <c r="N1376" i="1"/>
  <c r="M1376" i="1"/>
  <c r="O1375" i="1"/>
  <c r="N1375" i="1"/>
  <c r="M1375" i="1"/>
  <c r="O1374" i="1"/>
  <c r="N1374" i="1"/>
  <c r="M1374" i="1"/>
  <c r="O1373" i="1"/>
  <c r="N1373" i="1"/>
  <c r="M1373" i="1"/>
  <c r="O1372" i="1"/>
  <c r="N1372" i="1"/>
  <c r="M1372" i="1"/>
  <c r="O1371" i="1"/>
  <c r="N1371" i="1"/>
  <c r="M1371" i="1"/>
  <c r="O1370" i="1"/>
  <c r="N1370" i="1"/>
  <c r="M1370" i="1"/>
  <c r="O1369" i="1"/>
  <c r="N1369" i="1"/>
  <c r="M1369" i="1"/>
  <c r="O1368" i="1"/>
  <c r="N1368" i="1"/>
  <c r="M1368" i="1"/>
  <c r="O1367" i="1"/>
  <c r="N1367" i="1"/>
  <c r="M1367" i="1"/>
  <c r="O1366" i="1"/>
  <c r="N1366" i="1"/>
  <c r="M1366" i="1"/>
  <c r="O1365" i="1"/>
  <c r="N1365" i="1"/>
  <c r="M1365" i="1"/>
  <c r="O1364" i="1"/>
  <c r="N1364" i="1"/>
  <c r="M1364" i="1"/>
  <c r="O1363" i="1"/>
  <c r="N1363" i="1"/>
  <c r="M1363" i="1"/>
  <c r="O1362" i="1"/>
  <c r="N1362" i="1"/>
  <c r="M1362" i="1"/>
  <c r="O1361" i="1"/>
  <c r="N1361" i="1"/>
  <c r="M1361" i="1"/>
  <c r="O1360" i="1"/>
  <c r="N1360" i="1"/>
  <c r="M1360" i="1"/>
  <c r="O1359" i="1"/>
  <c r="N1359" i="1"/>
  <c r="M1359" i="1"/>
  <c r="O1358" i="1"/>
  <c r="N1358" i="1"/>
  <c r="M1358" i="1"/>
  <c r="O1357" i="1"/>
  <c r="N1357" i="1"/>
  <c r="M1357" i="1"/>
  <c r="O1356" i="1"/>
  <c r="N1356" i="1"/>
  <c r="M1356" i="1"/>
  <c r="O1355" i="1"/>
  <c r="N1355" i="1"/>
  <c r="M1355" i="1"/>
  <c r="O1354" i="1"/>
  <c r="N1354" i="1"/>
  <c r="M1354" i="1"/>
  <c r="O1353" i="1"/>
  <c r="N1353" i="1"/>
  <c r="M1353" i="1"/>
  <c r="O1352" i="1"/>
  <c r="N1352" i="1"/>
  <c r="M1352" i="1"/>
  <c r="O1351" i="1"/>
  <c r="N1351" i="1"/>
  <c r="M1351" i="1"/>
  <c r="O1350" i="1"/>
  <c r="N1350" i="1"/>
  <c r="M1350" i="1"/>
  <c r="O1349" i="1"/>
  <c r="N1349" i="1"/>
  <c r="M1349" i="1"/>
  <c r="O1348" i="1"/>
  <c r="N1348" i="1"/>
  <c r="M1348" i="1"/>
  <c r="O1347" i="1"/>
  <c r="N1347" i="1"/>
  <c r="M1347" i="1"/>
  <c r="O1346" i="1"/>
  <c r="N1346" i="1"/>
  <c r="M1346" i="1"/>
  <c r="O1345" i="1"/>
  <c r="N1345" i="1"/>
  <c r="M1345" i="1"/>
  <c r="O1344" i="1"/>
  <c r="N1344" i="1"/>
  <c r="M1344" i="1"/>
  <c r="O1343" i="1"/>
  <c r="N1343" i="1"/>
  <c r="M1343" i="1"/>
  <c r="O1342" i="1"/>
  <c r="N1342" i="1"/>
  <c r="M1342" i="1"/>
  <c r="O1341" i="1"/>
  <c r="N1341" i="1"/>
  <c r="M1341" i="1"/>
  <c r="O1340" i="1"/>
  <c r="N1340" i="1"/>
  <c r="M1340" i="1"/>
  <c r="O1339" i="1"/>
  <c r="N1339" i="1"/>
  <c r="M1339" i="1"/>
  <c r="O1338" i="1"/>
  <c r="N1338" i="1"/>
  <c r="M1338" i="1"/>
  <c r="O1337" i="1"/>
  <c r="N1337" i="1"/>
  <c r="M1337" i="1"/>
  <c r="O1336" i="1"/>
  <c r="N1336" i="1"/>
  <c r="M1336" i="1"/>
  <c r="O1335" i="1"/>
  <c r="N1335" i="1"/>
  <c r="M1335" i="1"/>
  <c r="O1334" i="1"/>
  <c r="N1334" i="1"/>
  <c r="M1334" i="1"/>
  <c r="O1333" i="1"/>
  <c r="N1333" i="1"/>
  <c r="M1333" i="1"/>
  <c r="O1332" i="1"/>
  <c r="N1332" i="1"/>
  <c r="M1332" i="1"/>
  <c r="O1331" i="1"/>
  <c r="N1331" i="1"/>
  <c r="M1331" i="1"/>
  <c r="O1330" i="1"/>
  <c r="N1330" i="1"/>
  <c r="M1330" i="1"/>
  <c r="O1329" i="1"/>
  <c r="N1329" i="1"/>
  <c r="M1329" i="1"/>
  <c r="O1328" i="1"/>
  <c r="N1328" i="1"/>
  <c r="M1328" i="1"/>
  <c r="O1327" i="1"/>
  <c r="N1327" i="1"/>
  <c r="M1327" i="1"/>
  <c r="O1326" i="1"/>
  <c r="N1326" i="1"/>
  <c r="M1326" i="1"/>
  <c r="O1325" i="1"/>
  <c r="N1325" i="1"/>
  <c r="M1325" i="1"/>
  <c r="O1324" i="1"/>
  <c r="N1324" i="1"/>
  <c r="M1324" i="1"/>
  <c r="O1323" i="1"/>
  <c r="N1323" i="1"/>
  <c r="M1323" i="1"/>
  <c r="O1322" i="1"/>
  <c r="N1322" i="1"/>
  <c r="M1322" i="1"/>
  <c r="O1321" i="1"/>
  <c r="N1321" i="1"/>
  <c r="M1321" i="1"/>
  <c r="O1320" i="1"/>
  <c r="N1320" i="1"/>
  <c r="M1320" i="1"/>
  <c r="O1319" i="1"/>
  <c r="N1319" i="1"/>
  <c r="M1319" i="1"/>
  <c r="O1318" i="1"/>
  <c r="N1318" i="1"/>
  <c r="M1318" i="1"/>
  <c r="O1317" i="1"/>
  <c r="N1317" i="1"/>
  <c r="M1317" i="1"/>
  <c r="O1316" i="1"/>
  <c r="N1316" i="1"/>
  <c r="M1316" i="1"/>
  <c r="O1315" i="1"/>
  <c r="N1315" i="1"/>
  <c r="M1315" i="1"/>
  <c r="O1314" i="1"/>
  <c r="N1314" i="1"/>
  <c r="M1314" i="1"/>
  <c r="O1313" i="1"/>
  <c r="N1313" i="1"/>
  <c r="M1313" i="1"/>
  <c r="O1312" i="1"/>
  <c r="N1312" i="1"/>
  <c r="M1312" i="1"/>
  <c r="O1311" i="1"/>
  <c r="N1311" i="1"/>
  <c r="M1311" i="1"/>
  <c r="O1310" i="1"/>
  <c r="N1310" i="1"/>
  <c r="M1310" i="1"/>
  <c r="O1309" i="1"/>
  <c r="N1309" i="1"/>
  <c r="M1309" i="1"/>
  <c r="O1308" i="1"/>
  <c r="N1308" i="1"/>
  <c r="M1308" i="1"/>
  <c r="O1307" i="1"/>
  <c r="N1307" i="1"/>
  <c r="M1307" i="1"/>
  <c r="O1306" i="1"/>
  <c r="N1306" i="1"/>
  <c r="M1306" i="1"/>
  <c r="O1305" i="1"/>
  <c r="N1305" i="1"/>
  <c r="M1305" i="1"/>
  <c r="O1304" i="1"/>
  <c r="N1304" i="1"/>
  <c r="M1304" i="1"/>
  <c r="O1303" i="1"/>
  <c r="N1303" i="1"/>
  <c r="M1303" i="1"/>
  <c r="O1302" i="1"/>
  <c r="N1302" i="1"/>
  <c r="M1302" i="1"/>
  <c r="O1301" i="1"/>
  <c r="N1301" i="1"/>
  <c r="M1301" i="1"/>
  <c r="O1300" i="1"/>
  <c r="N1300" i="1"/>
  <c r="M1300" i="1"/>
  <c r="O1299" i="1"/>
  <c r="N1299" i="1"/>
  <c r="M1299" i="1"/>
  <c r="O1298" i="1"/>
  <c r="N1298" i="1"/>
  <c r="M1298" i="1"/>
  <c r="O1297" i="1"/>
  <c r="N1297" i="1"/>
  <c r="M1297" i="1"/>
  <c r="O1296" i="1"/>
  <c r="N1296" i="1"/>
  <c r="M1296" i="1"/>
  <c r="O1295" i="1"/>
  <c r="N1295" i="1"/>
  <c r="M1295" i="1"/>
  <c r="O1294" i="1"/>
  <c r="N1294" i="1"/>
  <c r="M1294" i="1"/>
  <c r="O1293" i="1"/>
  <c r="N1293" i="1"/>
  <c r="M1293" i="1"/>
  <c r="O1292" i="1"/>
  <c r="N1292" i="1"/>
  <c r="M1292" i="1"/>
  <c r="O1291" i="1"/>
  <c r="N1291" i="1"/>
  <c r="M1291" i="1"/>
  <c r="O1290" i="1"/>
  <c r="N1290" i="1"/>
  <c r="M1290" i="1"/>
  <c r="O1289" i="1"/>
  <c r="N1289" i="1"/>
  <c r="M1289" i="1"/>
  <c r="O1288" i="1"/>
  <c r="N1288" i="1"/>
  <c r="M1288" i="1"/>
  <c r="O1287" i="1"/>
  <c r="N1287" i="1"/>
  <c r="M1287" i="1"/>
  <c r="O1286" i="1"/>
  <c r="N1286" i="1"/>
  <c r="M1286" i="1"/>
  <c r="O1285" i="1"/>
  <c r="N1285" i="1"/>
  <c r="M1285" i="1"/>
  <c r="O1284" i="1"/>
  <c r="N1284" i="1"/>
  <c r="M1284" i="1"/>
  <c r="O1283" i="1"/>
  <c r="N1283" i="1"/>
  <c r="M1283" i="1"/>
  <c r="O1282" i="1"/>
  <c r="N1282" i="1"/>
  <c r="M1282" i="1"/>
  <c r="O1281" i="1"/>
  <c r="N1281" i="1"/>
  <c r="M1281" i="1"/>
  <c r="O1280" i="1"/>
  <c r="N1280" i="1"/>
  <c r="M1280" i="1"/>
  <c r="O1279" i="1"/>
  <c r="N1279" i="1"/>
  <c r="M1279" i="1"/>
  <c r="O1278" i="1"/>
  <c r="N1278" i="1"/>
  <c r="M1278" i="1"/>
  <c r="O1277" i="1"/>
  <c r="N1277" i="1"/>
  <c r="M1277" i="1"/>
  <c r="O1276" i="1"/>
  <c r="N1276" i="1"/>
  <c r="M1276" i="1"/>
  <c r="O1275" i="1"/>
  <c r="N1275" i="1"/>
  <c r="M1275" i="1"/>
  <c r="O1274" i="1"/>
  <c r="N1274" i="1"/>
  <c r="M1274" i="1"/>
  <c r="O1273" i="1"/>
  <c r="N1273" i="1"/>
  <c r="M1273" i="1"/>
  <c r="O1272" i="1"/>
  <c r="N1272" i="1"/>
  <c r="M1272" i="1"/>
  <c r="O1271" i="1"/>
  <c r="N1271" i="1"/>
  <c r="M1271" i="1"/>
  <c r="O1270" i="1"/>
  <c r="N1270" i="1"/>
  <c r="M1270" i="1"/>
  <c r="O1269" i="1"/>
  <c r="N1269" i="1"/>
  <c r="M1269" i="1"/>
  <c r="O1268" i="1"/>
  <c r="N1268" i="1"/>
  <c r="M1268" i="1"/>
  <c r="O1267" i="1"/>
  <c r="N1267" i="1"/>
  <c r="M1267" i="1"/>
  <c r="O1266" i="1"/>
  <c r="N1266" i="1"/>
  <c r="M1266" i="1"/>
  <c r="O1265" i="1"/>
  <c r="N1265" i="1"/>
  <c r="M1265" i="1"/>
  <c r="O1264" i="1"/>
  <c r="N1264" i="1"/>
  <c r="M1264" i="1"/>
  <c r="O1263" i="1"/>
  <c r="N1263" i="1"/>
  <c r="M1263" i="1"/>
  <c r="O1262" i="1"/>
  <c r="N1262" i="1"/>
  <c r="M1262" i="1"/>
  <c r="O1261" i="1"/>
  <c r="N1261" i="1"/>
  <c r="M1261" i="1"/>
  <c r="O1260" i="1"/>
  <c r="N1260" i="1"/>
  <c r="M1260" i="1"/>
  <c r="O1259" i="1"/>
  <c r="N1259" i="1"/>
  <c r="M1259" i="1"/>
  <c r="O1258" i="1"/>
  <c r="N1258" i="1"/>
  <c r="M1258" i="1"/>
  <c r="O1257" i="1"/>
  <c r="N1257" i="1"/>
  <c r="M1257" i="1"/>
  <c r="O1256" i="1"/>
  <c r="N1256" i="1"/>
  <c r="M1256" i="1"/>
  <c r="O1255" i="1"/>
  <c r="N1255" i="1"/>
  <c r="M1255" i="1"/>
  <c r="O1254" i="1"/>
  <c r="N1254" i="1"/>
  <c r="M1254" i="1"/>
  <c r="O1253" i="1"/>
  <c r="N1253" i="1"/>
  <c r="M1253" i="1"/>
  <c r="O1252" i="1"/>
  <c r="N1252" i="1"/>
  <c r="M1252" i="1"/>
  <c r="O1251" i="1"/>
  <c r="N1251" i="1"/>
  <c r="M1251" i="1"/>
  <c r="O1250" i="1"/>
  <c r="N1250" i="1"/>
  <c r="M1250" i="1"/>
  <c r="O1249" i="1"/>
  <c r="N1249" i="1"/>
  <c r="M1249" i="1"/>
  <c r="O1248" i="1"/>
  <c r="N1248" i="1"/>
  <c r="M1248" i="1"/>
  <c r="O1247" i="1"/>
  <c r="N1247" i="1"/>
  <c r="M1247" i="1"/>
  <c r="O1246" i="1"/>
  <c r="N1246" i="1"/>
  <c r="M1246" i="1"/>
  <c r="O1245" i="1"/>
  <c r="N1245" i="1"/>
  <c r="M1245" i="1"/>
  <c r="O1244" i="1"/>
  <c r="N1244" i="1"/>
  <c r="M1244" i="1"/>
  <c r="O1243" i="1"/>
  <c r="N1243" i="1"/>
  <c r="M1243" i="1"/>
  <c r="O1242" i="1"/>
  <c r="N1242" i="1"/>
  <c r="M1242" i="1"/>
  <c r="O1241" i="1"/>
  <c r="N1241" i="1"/>
  <c r="M1241" i="1"/>
  <c r="O1240" i="1"/>
  <c r="N1240" i="1"/>
  <c r="M1240" i="1"/>
  <c r="O1239" i="1"/>
  <c r="N1239" i="1"/>
  <c r="M1239" i="1"/>
  <c r="O1238" i="1"/>
  <c r="N1238" i="1"/>
  <c r="M1238" i="1"/>
  <c r="O1237" i="1"/>
  <c r="N1237" i="1"/>
  <c r="M1237" i="1"/>
  <c r="O1236" i="1"/>
  <c r="N1236" i="1"/>
  <c r="M1236" i="1"/>
  <c r="O1235" i="1"/>
  <c r="N1235" i="1"/>
  <c r="M1235" i="1"/>
  <c r="O1234" i="1"/>
  <c r="N1234" i="1"/>
  <c r="M1234" i="1"/>
  <c r="O1233" i="1"/>
  <c r="N1233" i="1"/>
  <c r="M1233" i="1"/>
  <c r="O1232" i="1"/>
  <c r="N1232" i="1"/>
  <c r="M1232" i="1"/>
  <c r="O1231" i="1"/>
  <c r="N1231" i="1"/>
  <c r="M1231" i="1"/>
  <c r="O1230" i="1"/>
  <c r="N1230" i="1"/>
  <c r="M1230" i="1"/>
  <c r="O1229" i="1"/>
  <c r="N1229" i="1"/>
  <c r="M1229" i="1"/>
  <c r="O1228" i="1"/>
  <c r="N1228" i="1"/>
  <c r="M1228" i="1"/>
  <c r="O1227" i="1"/>
  <c r="N1227" i="1"/>
  <c r="M1227" i="1"/>
  <c r="O1226" i="1"/>
  <c r="N1226" i="1"/>
  <c r="M1226" i="1"/>
  <c r="O1225" i="1"/>
  <c r="N1225" i="1"/>
  <c r="M1225" i="1"/>
  <c r="O1224" i="1"/>
  <c r="N1224" i="1"/>
  <c r="M1224" i="1"/>
  <c r="O1223" i="1"/>
  <c r="N1223" i="1"/>
  <c r="M1223" i="1"/>
  <c r="O1222" i="1"/>
  <c r="N1222" i="1"/>
  <c r="M1222" i="1"/>
  <c r="O1221" i="1"/>
  <c r="N1221" i="1"/>
  <c r="M1221" i="1"/>
  <c r="O1220" i="1"/>
  <c r="N1220" i="1"/>
  <c r="M1220" i="1"/>
  <c r="O1219" i="1"/>
  <c r="N1219" i="1"/>
  <c r="M1219" i="1"/>
  <c r="O1218" i="1"/>
  <c r="N1218" i="1"/>
  <c r="M1218" i="1"/>
  <c r="O1217" i="1"/>
  <c r="N1217" i="1"/>
  <c r="M1217" i="1"/>
  <c r="O1216" i="1"/>
  <c r="N1216" i="1"/>
  <c r="M1216" i="1"/>
  <c r="O1215" i="1"/>
  <c r="N1215" i="1"/>
  <c r="M1215" i="1"/>
  <c r="O1214" i="1"/>
  <c r="N1214" i="1"/>
  <c r="M1214" i="1"/>
  <c r="O1213" i="1"/>
  <c r="N1213" i="1"/>
  <c r="M1213" i="1"/>
  <c r="O1212" i="1"/>
  <c r="N1212" i="1"/>
  <c r="M1212" i="1"/>
  <c r="O1211" i="1"/>
  <c r="N1211" i="1"/>
  <c r="M1211" i="1"/>
  <c r="O1210" i="1"/>
  <c r="N1210" i="1"/>
  <c r="M1210" i="1"/>
  <c r="O1209" i="1"/>
  <c r="N1209" i="1"/>
  <c r="M1209" i="1"/>
  <c r="O1208" i="1"/>
  <c r="N1208" i="1"/>
  <c r="M1208" i="1"/>
  <c r="O1207" i="1"/>
  <c r="N1207" i="1"/>
  <c r="M1207" i="1"/>
  <c r="O1206" i="1"/>
  <c r="N1206" i="1"/>
  <c r="M1206" i="1"/>
  <c r="O1205" i="1"/>
  <c r="N1205" i="1"/>
  <c r="M1205" i="1"/>
  <c r="O1204" i="1"/>
  <c r="N1204" i="1"/>
  <c r="M1204" i="1"/>
  <c r="O1203" i="1"/>
  <c r="N1203" i="1"/>
  <c r="M1203" i="1"/>
  <c r="O1202" i="1"/>
  <c r="N1202" i="1"/>
  <c r="M1202" i="1"/>
  <c r="O1201" i="1"/>
  <c r="N1201" i="1"/>
  <c r="M1201" i="1"/>
  <c r="O1200" i="1"/>
  <c r="N1200" i="1"/>
  <c r="M1200" i="1"/>
  <c r="O1199" i="1"/>
  <c r="N1199" i="1"/>
  <c r="M1199" i="1"/>
  <c r="O1198" i="1"/>
  <c r="N1198" i="1"/>
  <c r="M1198" i="1"/>
  <c r="O1197" i="1"/>
  <c r="N1197" i="1"/>
  <c r="M1197" i="1"/>
  <c r="O1196" i="1"/>
  <c r="N1196" i="1"/>
  <c r="M1196" i="1"/>
  <c r="O1195" i="1"/>
  <c r="N1195" i="1"/>
  <c r="M1195" i="1"/>
  <c r="O1194" i="1"/>
  <c r="N1194" i="1"/>
  <c r="M1194" i="1"/>
  <c r="O1193" i="1"/>
  <c r="N1193" i="1"/>
  <c r="M1193" i="1"/>
  <c r="O1192" i="1"/>
  <c r="N1192" i="1"/>
  <c r="M1192" i="1"/>
  <c r="O1191" i="1"/>
  <c r="N1191" i="1"/>
  <c r="M1191" i="1"/>
  <c r="O1190" i="1"/>
  <c r="N1190" i="1"/>
  <c r="M1190" i="1"/>
  <c r="O1189" i="1"/>
  <c r="N1189" i="1"/>
  <c r="M1189" i="1"/>
  <c r="O1188" i="1"/>
  <c r="N1188" i="1"/>
  <c r="M1188" i="1"/>
  <c r="O1187" i="1"/>
  <c r="N1187" i="1"/>
  <c r="M1187" i="1"/>
  <c r="O1186" i="1"/>
  <c r="N1186" i="1"/>
  <c r="M1186" i="1"/>
  <c r="O1185" i="1"/>
  <c r="N1185" i="1"/>
  <c r="M1185" i="1"/>
  <c r="O1184" i="1"/>
  <c r="N1184" i="1"/>
  <c r="M1184" i="1"/>
  <c r="O1183" i="1"/>
  <c r="N1183" i="1"/>
  <c r="M1183" i="1"/>
  <c r="O1182" i="1"/>
  <c r="N1182" i="1"/>
  <c r="M1182" i="1"/>
  <c r="O1181" i="1"/>
  <c r="N1181" i="1"/>
  <c r="M1181" i="1"/>
  <c r="O1180" i="1"/>
  <c r="N1180" i="1"/>
  <c r="M1180" i="1"/>
  <c r="O1179" i="1"/>
  <c r="N1179" i="1"/>
  <c r="M1179" i="1"/>
  <c r="O1178" i="1"/>
  <c r="N1178" i="1"/>
  <c r="M1178" i="1"/>
  <c r="O1177" i="1"/>
  <c r="N1177" i="1"/>
  <c r="M1177" i="1"/>
  <c r="O1176" i="1"/>
  <c r="N1176" i="1"/>
  <c r="M1176" i="1"/>
  <c r="O1175" i="1"/>
  <c r="N1175" i="1"/>
  <c r="M1175" i="1"/>
  <c r="O1174" i="1"/>
  <c r="N1174" i="1"/>
  <c r="M1174" i="1"/>
  <c r="O1173" i="1"/>
  <c r="N1173" i="1"/>
  <c r="M1173" i="1"/>
  <c r="O1172" i="1"/>
  <c r="N1172" i="1"/>
  <c r="M1172" i="1"/>
  <c r="O1171" i="1"/>
  <c r="N1171" i="1"/>
  <c r="M1171" i="1"/>
  <c r="O1170" i="1"/>
  <c r="N1170" i="1"/>
  <c r="M1170" i="1"/>
  <c r="O1169" i="1"/>
  <c r="N1169" i="1"/>
  <c r="M1169" i="1"/>
  <c r="O1168" i="1"/>
  <c r="N1168" i="1"/>
  <c r="M1168" i="1"/>
  <c r="O1167" i="1"/>
  <c r="N1167" i="1"/>
  <c r="M1167" i="1"/>
  <c r="O1166" i="1"/>
  <c r="N1166" i="1"/>
  <c r="M1166" i="1"/>
  <c r="O1165" i="1"/>
  <c r="N1165" i="1"/>
  <c r="M1165" i="1"/>
  <c r="O1164" i="1"/>
  <c r="N1164" i="1"/>
  <c r="M1164" i="1"/>
  <c r="O1163" i="1"/>
  <c r="N1163" i="1"/>
  <c r="M1163" i="1"/>
  <c r="O1162" i="1"/>
  <c r="N1162" i="1"/>
  <c r="M1162" i="1"/>
  <c r="O1161" i="1"/>
  <c r="N1161" i="1"/>
  <c r="M1161" i="1"/>
  <c r="O1160" i="1"/>
  <c r="N1160" i="1"/>
  <c r="M1160" i="1"/>
  <c r="O1159" i="1"/>
  <c r="N1159" i="1"/>
  <c r="M1159" i="1"/>
  <c r="O1158" i="1"/>
  <c r="N1158" i="1"/>
  <c r="M1158" i="1"/>
  <c r="O1157" i="1"/>
  <c r="N1157" i="1"/>
  <c r="M1157" i="1"/>
  <c r="O1156" i="1"/>
  <c r="N1156" i="1"/>
  <c r="M1156" i="1"/>
  <c r="O1155" i="1"/>
  <c r="N1155" i="1"/>
  <c r="M1155" i="1"/>
  <c r="O1154" i="1"/>
  <c r="N1154" i="1"/>
  <c r="M1154" i="1"/>
  <c r="O1153" i="1"/>
  <c r="N1153" i="1"/>
  <c r="M1153" i="1"/>
  <c r="O1152" i="1"/>
  <c r="N1152" i="1"/>
  <c r="M1152" i="1"/>
  <c r="O1151" i="1"/>
  <c r="N1151" i="1"/>
  <c r="M1151" i="1"/>
  <c r="O1150" i="1"/>
  <c r="N1150" i="1"/>
  <c r="M1150" i="1"/>
  <c r="O1149" i="1"/>
  <c r="N1149" i="1"/>
  <c r="M1149" i="1"/>
  <c r="O1148" i="1"/>
  <c r="N1148" i="1"/>
  <c r="M1148" i="1"/>
  <c r="O1147" i="1"/>
  <c r="N1147" i="1"/>
  <c r="M1147" i="1"/>
  <c r="O1146" i="1"/>
  <c r="N1146" i="1"/>
  <c r="M1146" i="1"/>
  <c r="O1145" i="1"/>
  <c r="N1145" i="1"/>
  <c r="M1145" i="1"/>
  <c r="O1144" i="1"/>
  <c r="N1144" i="1"/>
  <c r="M1144" i="1"/>
  <c r="O1143" i="1"/>
  <c r="N1143" i="1"/>
  <c r="M1143" i="1"/>
  <c r="O1142" i="1"/>
  <c r="N1142" i="1"/>
  <c r="M1142" i="1"/>
  <c r="O1141" i="1"/>
  <c r="N1141" i="1"/>
  <c r="M1141" i="1"/>
  <c r="O1140" i="1"/>
  <c r="N1140" i="1"/>
  <c r="M1140" i="1"/>
  <c r="O1139" i="1"/>
  <c r="N1139" i="1"/>
  <c r="M1139" i="1"/>
  <c r="O1138" i="1"/>
  <c r="N1138" i="1"/>
  <c r="M1138" i="1"/>
  <c r="O1137" i="1"/>
  <c r="N1137" i="1"/>
  <c r="M1137" i="1"/>
  <c r="O1136" i="1"/>
  <c r="N1136" i="1"/>
  <c r="M1136" i="1"/>
  <c r="O1135" i="1"/>
  <c r="N1135" i="1"/>
  <c r="M1135" i="1"/>
  <c r="O1134" i="1"/>
  <c r="N1134" i="1"/>
  <c r="M1134" i="1"/>
  <c r="O1133" i="1"/>
  <c r="N1133" i="1"/>
  <c r="M1133" i="1"/>
  <c r="O1132" i="1"/>
  <c r="N1132" i="1"/>
  <c r="M1132" i="1"/>
  <c r="O1131" i="1"/>
  <c r="N1131" i="1"/>
  <c r="M1131" i="1"/>
  <c r="O1130" i="1"/>
  <c r="N1130" i="1"/>
  <c r="M1130" i="1"/>
  <c r="O1129" i="1"/>
  <c r="N1129" i="1"/>
  <c r="M1129" i="1"/>
  <c r="O1128" i="1"/>
  <c r="N1128" i="1"/>
  <c r="M1128" i="1"/>
  <c r="O1127" i="1"/>
  <c r="N1127" i="1"/>
  <c r="M1127" i="1"/>
  <c r="O1126" i="1"/>
  <c r="N1126" i="1"/>
  <c r="M1126" i="1"/>
  <c r="O1125" i="1"/>
  <c r="N1125" i="1"/>
  <c r="M1125" i="1"/>
  <c r="O1124" i="1"/>
  <c r="N1124" i="1"/>
  <c r="M1124" i="1"/>
  <c r="O1123" i="1"/>
  <c r="N1123" i="1"/>
  <c r="M1123" i="1"/>
  <c r="O1122" i="1"/>
  <c r="N1122" i="1"/>
  <c r="M1122" i="1"/>
  <c r="O1121" i="1"/>
  <c r="N1121" i="1"/>
  <c r="M1121" i="1"/>
  <c r="O1120" i="1"/>
  <c r="N1120" i="1"/>
  <c r="M1120" i="1"/>
  <c r="O1119" i="1"/>
  <c r="N1119" i="1"/>
  <c r="M1119" i="1"/>
  <c r="O1118" i="1"/>
  <c r="N1118" i="1"/>
  <c r="M1118" i="1"/>
  <c r="O1117" i="1"/>
  <c r="N1117" i="1"/>
  <c r="M1117" i="1"/>
  <c r="O1116" i="1"/>
  <c r="N1116" i="1"/>
  <c r="M1116" i="1"/>
  <c r="O1115" i="1"/>
  <c r="N1115" i="1"/>
  <c r="M1115" i="1"/>
  <c r="O1114" i="1"/>
  <c r="N1114" i="1"/>
  <c r="M1114" i="1"/>
  <c r="O1113" i="1"/>
  <c r="N1113" i="1"/>
  <c r="M1113" i="1"/>
  <c r="O1112" i="1"/>
  <c r="N1112" i="1"/>
  <c r="M1112" i="1"/>
  <c r="O1111" i="1"/>
  <c r="N1111" i="1"/>
  <c r="M1111" i="1"/>
  <c r="O1110" i="1"/>
  <c r="N1110" i="1"/>
  <c r="M1110" i="1"/>
  <c r="O1109" i="1"/>
  <c r="N1109" i="1"/>
  <c r="M1109" i="1"/>
  <c r="O1108" i="1"/>
  <c r="N1108" i="1"/>
  <c r="M1108" i="1"/>
  <c r="O1107" i="1"/>
  <c r="N1107" i="1"/>
  <c r="M1107" i="1"/>
  <c r="O1106" i="1"/>
  <c r="N1106" i="1"/>
  <c r="M1106" i="1"/>
  <c r="O1105" i="1"/>
  <c r="N1105" i="1"/>
  <c r="M1105" i="1"/>
  <c r="O1104" i="1"/>
  <c r="N1104" i="1"/>
  <c r="M1104" i="1"/>
  <c r="O1103" i="1"/>
  <c r="N1103" i="1"/>
  <c r="M1103" i="1"/>
  <c r="O1102" i="1"/>
  <c r="N1102" i="1"/>
  <c r="M1102" i="1"/>
  <c r="O1101" i="1"/>
  <c r="N1101" i="1"/>
  <c r="M1101" i="1"/>
  <c r="O1100" i="1"/>
  <c r="N1100" i="1"/>
  <c r="M1100" i="1"/>
  <c r="O1099" i="1"/>
  <c r="N1099" i="1"/>
  <c r="M1099" i="1"/>
  <c r="O1098" i="1"/>
  <c r="N1098" i="1"/>
  <c r="M1098" i="1"/>
  <c r="O1097" i="1"/>
  <c r="N1097" i="1"/>
  <c r="M1097" i="1"/>
  <c r="O1096" i="1"/>
  <c r="N1096" i="1"/>
  <c r="M1096" i="1"/>
  <c r="O1095" i="1"/>
  <c r="N1095" i="1"/>
  <c r="M1095" i="1"/>
  <c r="O1094" i="1"/>
  <c r="N1094" i="1"/>
  <c r="M1094" i="1"/>
  <c r="O1093" i="1"/>
  <c r="N1093" i="1"/>
  <c r="M1093" i="1"/>
  <c r="O1092" i="1"/>
  <c r="N1092" i="1"/>
  <c r="M1092" i="1"/>
  <c r="O1091" i="1"/>
  <c r="N1091" i="1"/>
  <c r="M1091" i="1"/>
  <c r="O1090" i="1"/>
  <c r="N1090" i="1"/>
  <c r="M1090" i="1"/>
  <c r="O1089" i="1"/>
  <c r="N1089" i="1"/>
  <c r="M1089" i="1"/>
  <c r="O1088" i="1"/>
  <c r="N1088" i="1"/>
  <c r="M1088" i="1"/>
  <c r="O1087" i="1"/>
  <c r="N1087" i="1"/>
  <c r="M1087" i="1"/>
  <c r="O1086" i="1"/>
  <c r="N1086" i="1"/>
  <c r="M1086" i="1"/>
  <c r="O1085" i="1"/>
  <c r="N1085" i="1"/>
  <c r="M1085" i="1"/>
  <c r="O1084" i="1"/>
  <c r="N1084" i="1"/>
  <c r="M1084" i="1"/>
  <c r="O1083" i="1"/>
  <c r="N1083" i="1"/>
  <c r="M1083" i="1"/>
  <c r="O1082" i="1"/>
  <c r="N1082" i="1"/>
  <c r="M1082" i="1"/>
  <c r="O1081" i="1"/>
  <c r="N1081" i="1"/>
  <c r="M1081" i="1"/>
  <c r="O1080" i="1"/>
  <c r="N1080" i="1"/>
  <c r="M1080" i="1"/>
  <c r="O1079" i="1"/>
  <c r="N1079" i="1"/>
  <c r="M1079" i="1"/>
  <c r="O1078" i="1"/>
  <c r="N1078" i="1"/>
  <c r="M1078" i="1"/>
  <c r="O1077" i="1"/>
  <c r="N1077" i="1"/>
  <c r="M1077" i="1"/>
  <c r="O1076" i="1"/>
  <c r="N1076" i="1"/>
  <c r="M1076" i="1"/>
  <c r="O1075" i="1"/>
  <c r="N1075" i="1"/>
  <c r="M1075" i="1"/>
  <c r="O1074" i="1"/>
  <c r="N1074" i="1"/>
  <c r="M1074" i="1"/>
  <c r="O1073" i="1"/>
  <c r="N1073" i="1"/>
  <c r="M1073" i="1"/>
  <c r="O1072" i="1"/>
  <c r="N1072" i="1"/>
  <c r="M1072" i="1"/>
  <c r="O1071" i="1"/>
  <c r="N1071" i="1"/>
  <c r="M1071" i="1"/>
  <c r="O1070" i="1"/>
  <c r="N1070" i="1"/>
  <c r="M1070" i="1"/>
  <c r="O1069" i="1"/>
  <c r="N1069" i="1"/>
  <c r="M1069" i="1"/>
  <c r="O1068" i="1"/>
  <c r="N1068" i="1"/>
  <c r="M1068" i="1"/>
  <c r="O1067" i="1"/>
  <c r="N1067" i="1"/>
  <c r="M1067" i="1"/>
  <c r="O1066" i="1"/>
  <c r="N1066" i="1"/>
  <c r="M1066" i="1"/>
  <c r="O1065" i="1"/>
  <c r="N1065" i="1"/>
  <c r="M1065" i="1"/>
  <c r="O1064" i="1"/>
  <c r="N1064" i="1"/>
  <c r="M1064" i="1"/>
  <c r="O1063" i="1"/>
  <c r="N1063" i="1"/>
  <c r="M1063" i="1"/>
  <c r="O1062" i="1"/>
  <c r="N1062" i="1"/>
  <c r="M1062" i="1"/>
  <c r="O1061" i="1"/>
  <c r="N1061" i="1"/>
  <c r="M1061" i="1"/>
  <c r="O1060" i="1"/>
  <c r="N1060" i="1"/>
  <c r="M1060" i="1"/>
  <c r="O1059" i="1"/>
  <c r="N1059" i="1"/>
  <c r="M1059" i="1"/>
  <c r="O1058" i="1"/>
  <c r="N1058" i="1"/>
  <c r="M1058" i="1"/>
  <c r="O1057" i="1"/>
  <c r="N1057" i="1"/>
  <c r="M1057" i="1"/>
  <c r="O1056" i="1"/>
  <c r="N1056" i="1"/>
  <c r="M1056" i="1"/>
  <c r="O1055" i="1"/>
  <c r="N1055" i="1"/>
  <c r="M1055" i="1"/>
  <c r="O1054" i="1"/>
  <c r="N1054" i="1"/>
  <c r="M1054" i="1"/>
  <c r="O1053" i="1"/>
  <c r="N1053" i="1"/>
  <c r="M1053" i="1"/>
  <c r="O1052" i="1"/>
  <c r="N1052" i="1"/>
  <c r="M1052" i="1"/>
  <c r="O1051" i="1"/>
  <c r="N1051" i="1"/>
  <c r="M1051" i="1"/>
  <c r="O1050" i="1"/>
  <c r="N1050" i="1"/>
  <c r="M1050" i="1"/>
  <c r="O1049" i="1"/>
  <c r="N1049" i="1"/>
  <c r="M1049" i="1"/>
  <c r="O1048" i="1"/>
  <c r="N1048" i="1"/>
  <c r="M1048" i="1"/>
  <c r="O1047" i="1"/>
  <c r="N1047" i="1"/>
  <c r="M1047" i="1"/>
  <c r="O1046" i="1"/>
  <c r="N1046" i="1"/>
  <c r="M1046" i="1"/>
  <c r="O1045" i="1"/>
  <c r="N1045" i="1"/>
  <c r="M1045" i="1"/>
  <c r="O1044" i="1"/>
  <c r="N1044" i="1"/>
  <c r="M1044" i="1"/>
  <c r="O1043" i="1"/>
  <c r="N1043" i="1"/>
  <c r="M1043" i="1"/>
  <c r="O1042" i="1"/>
  <c r="N1042" i="1"/>
  <c r="M1042" i="1"/>
  <c r="O1041" i="1"/>
  <c r="N1041" i="1"/>
  <c r="M1041" i="1"/>
  <c r="O1040" i="1"/>
  <c r="N1040" i="1"/>
  <c r="M1040" i="1"/>
  <c r="O1039" i="1"/>
  <c r="N1039" i="1"/>
  <c r="M1039" i="1"/>
  <c r="O1038" i="1"/>
  <c r="N1038" i="1"/>
  <c r="M1038" i="1"/>
  <c r="O1037" i="1"/>
  <c r="N1037" i="1"/>
  <c r="M1037" i="1"/>
  <c r="O1036" i="1"/>
  <c r="N1036" i="1"/>
  <c r="M1036" i="1"/>
  <c r="O1035" i="1"/>
  <c r="N1035" i="1"/>
  <c r="M1035" i="1"/>
  <c r="O1034" i="1"/>
  <c r="N1034" i="1"/>
  <c r="M1034" i="1"/>
  <c r="O1033" i="1"/>
  <c r="N1033" i="1"/>
  <c r="M1033" i="1"/>
  <c r="O1032" i="1"/>
  <c r="N1032" i="1"/>
  <c r="M1032" i="1"/>
  <c r="O1031" i="1"/>
  <c r="N1031" i="1"/>
  <c r="M1031" i="1"/>
  <c r="O1030" i="1"/>
  <c r="N1030" i="1"/>
  <c r="M1030" i="1"/>
  <c r="O1029" i="1"/>
  <c r="N1029" i="1"/>
  <c r="M1029" i="1"/>
  <c r="O1028" i="1"/>
  <c r="N1028" i="1"/>
  <c r="M1028" i="1"/>
  <c r="O1027" i="1"/>
  <c r="N1027" i="1"/>
  <c r="M1027" i="1"/>
  <c r="O1026" i="1"/>
  <c r="N1026" i="1"/>
  <c r="M1026" i="1"/>
  <c r="O1025" i="1"/>
  <c r="N1025" i="1"/>
  <c r="M1025" i="1"/>
  <c r="O1024" i="1"/>
  <c r="N1024" i="1"/>
  <c r="M1024" i="1"/>
  <c r="O1023" i="1"/>
  <c r="N1023" i="1"/>
  <c r="M1023" i="1"/>
  <c r="O1022" i="1"/>
  <c r="N1022" i="1"/>
  <c r="M1022" i="1"/>
  <c r="O1021" i="1"/>
  <c r="N1021" i="1"/>
  <c r="M1021" i="1"/>
  <c r="O1020" i="1"/>
  <c r="N1020" i="1"/>
  <c r="M1020" i="1"/>
  <c r="O1019" i="1"/>
  <c r="N1019" i="1"/>
  <c r="M1019" i="1"/>
  <c r="O1018" i="1"/>
  <c r="N1018" i="1"/>
  <c r="M1018" i="1"/>
  <c r="O1017" i="1"/>
  <c r="N1017" i="1"/>
  <c r="M1017" i="1"/>
  <c r="O1016" i="1"/>
  <c r="N1016" i="1"/>
  <c r="M1016" i="1"/>
  <c r="O1015" i="1"/>
  <c r="N1015" i="1"/>
  <c r="M1015" i="1"/>
  <c r="O1014" i="1"/>
  <c r="N1014" i="1"/>
  <c r="M1014" i="1"/>
  <c r="O1013" i="1"/>
  <c r="N1013" i="1"/>
  <c r="M1013" i="1"/>
  <c r="O1012" i="1"/>
  <c r="N1012" i="1"/>
  <c r="M1012" i="1"/>
  <c r="O1011" i="1"/>
  <c r="N1011" i="1"/>
  <c r="M1011" i="1"/>
  <c r="O1010" i="1"/>
  <c r="N1010" i="1"/>
  <c r="M1010" i="1"/>
  <c r="O1009" i="1"/>
  <c r="N1009" i="1"/>
  <c r="M1009" i="1"/>
  <c r="O1008" i="1"/>
  <c r="N1008" i="1"/>
  <c r="M1008" i="1"/>
  <c r="O1007" i="1"/>
  <c r="N1007" i="1"/>
  <c r="M1007" i="1"/>
  <c r="O1006" i="1"/>
  <c r="N1006" i="1"/>
  <c r="M1006" i="1"/>
  <c r="O1005" i="1"/>
  <c r="N1005" i="1"/>
  <c r="M1005" i="1"/>
  <c r="O1004" i="1"/>
  <c r="N1004" i="1"/>
  <c r="M1004" i="1"/>
  <c r="O1003" i="1"/>
  <c r="N1003" i="1"/>
  <c r="M1003" i="1"/>
  <c r="O1002" i="1"/>
  <c r="N1002" i="1"/>
  <c r="M1002" i="1"/>
  <c r="O1001" i="1"/>
  <c r="N1001" i="1"/>
  <c r="M1001" i="1"/>
  <c r="O1000" i="1"/>
  <c r="N1000" i="1"/>
  <c r="M1000" i="1"/>
  <c r="O999" i="1"/>
  <c r="N999" i="1"/>
  <c r="M999" i="1"/>
  <c r="O998" i="1"/>
  <c r="N998" i="1"/>
  <c r="M998" i="1"/>
  <c r="O997" i="1"/>
  <c r="N997" i="1"/>
  <c r="M997" i="1"/>
  <c r="O996" i="1"/>
  <c r="N996" i="1"/>
  <c r="M996" i="1"/>
  <c r="O995" i="1"/>
  <c r="N995" i="1"/>
  <c r="M995" i="1"/>
  <c r="O994" i="1"/>
  <c r="N994" i="1"/>
  <c r="M994" i="1"/>
  <c r="O993" i="1"/>
  <c r="N993" i="1"/>
  <c r="M993" i="1"/>
  <c r="O992" i="1"/>
  <c r="N992" i="1"/>
  <c r="M992" i="1"/>
  <c r="O991" i="1"/>
  <c r="N991" i="1"/>
  <c r="M991" i="1"/>
  <c r="O990" i="1"/>
  <c r="N990" i="1"/>
  <c r="M990" i="1"/>
  <c r="O989" i="1"/>
  <c r="N989" i="1"/>
  <c r="M989" i="1"/>
  <c r="O988" i="1"/>
  <c r="N988" i="1"/>
  <c r="M988" i="1"/>
  <c r="O987" i="1"/>
  <c r="N987" i="1"/>
  <c r="M987" i="1"/>
  <c r="O986" i="1"/>
  <c r="N986" i="1"/>
  <c r="M986" i="1"/>
  <c r="O985" i="1"/>
  <c r="N985" i="1"/>
  <c r="M985" i="1"/>
  <c r="O984" i="1"/>
  <c r="N984" i="1"/>
  <c r="M984" i="1"/>
  <c r="O983" i="1"/>
  <c r="N983" i="1"/>
  <c r="M983" i="1"/>
  <c r="O982" i="1"/>
  <c r="N982" i="1"/>
  <c r="M982" i="1"/>
  <c r="O981" i="1"/>
  <c r="N981" i="1"/>
  <c r="M981" i="1"/>
  <c r="O980" i="1"/>
  <c r="N980" i="1"/>
  <c r="M980" i="1"/>
  <c r="O979" i="1"/>
  <c r="N979" i="1"/>
  <c r="M979" i="1"/>
  <c r="O978" i="1"/>
  <c r="N978" i="1"/>
  <c r="M978" i="1"/>
  <c r="O977" i="1"/>
  <c r="N977" i="1"/>
  <c r="M977" i="1"/>
  <c r="O976" i="1"/>
  <c r="N976" i="1"/>
  <c r="M976" i="1"/>
  <c r="O975" i="1"/>
  <c r="N975" i="1"/>
  <c r="M975" i="1"/>
  <c r="O974" i="1"/>
  <c r="N974" i="1"/>
  <c r="M974" i="1"/>
  <c r="O973" i="1"/>
  <c r="N973" i="1"/>
  <c r="M973" i="1"/>
  <c r="O972" i="1"/>
  <c r="N972" i="1"/>
  <c r="M972" i="1"/>
  <c r="O971" i="1"/>
  <c r="N971" i="1"/>
  <c r="M971" i="1"/>
  <c r="O970" i="1"/>
  <c r="N970" i="1"/>
  <c r="M970" i="1"/>
  <c r="O969" i="1"/>
  <c r="N969" i="1"/>
  <c r="M969" i="1"/>
  <c r="O968" i="1"/>
  <c r="N968" i="1"/>
  <c r="M968" i="1"/>
  <c r="O967" i="1"/>
  <c r="N967" i="1"/>
  <c r="M967" i="1"/>
  <c r="O966" i="1"/>
  <c r="N966" i="1"/>
  <c r="M966" i="1"/>
  <c r="O965" i="1"/>
  <c r="N965" i="1"/>
  <c r="M965" i="1"/>
  <c r="O964" i="1"/>
  <c r="N964" i="1"/>
  <c r="M964" i="1"/>
  <c r="O963" i="1"/>
  <c r="N963" i="1"/>
  <c r="M963" i="1"/>
  <c r="O962" i="1"/>
  <c r="N962" i="1"/>
  <c r="M962" i="1"/>
  <c r="O961" i="1"/>
  <c r="N961" i="1"/>
  <c r="M961" i="1"/>
  <c r="O960" i="1"/>
  <c r="N960" i="1"/>
  <c r="M960" i="1"/>
  <c r="O959" i="1"/>
  <c r="N959" i="1"/>
  <c r="M959" i="1"/>
  <c r="O958" i="1"/>
  <c r="N958" i="1"/>
  <c r="M958" i="1"/>
  <c r="O957" i="1"/>
  <c r="N957" i="1"/>
  <c r="M957" i="1"/>
  <c r="O956" i="1"/>
  <c r="N956" i="1"/>
  <c r="M956" i="1"/>
  <c r="O955" i="1"/>
  <c r="N955" i="1"/>
  <c r="M955" i="1"/>
  <c r="O954" i="1"/>
  <c r="N954" i="1"/>
  <c r="M954" i="1"/>
  <c r="O953" i="1"/>
  <c r="N953" i="1"/>
  <c r="M953" i="1"/>
  <c r="O952" i="1"/>
  <c r="N952" i="1"/>
  <c r="M952" i="1"/>
  <c r="O951" i="1"/>
  <c r="N951" i="1"/>
  <c r="M951" i="1"/>
  <c r="O950" i="1"/>
  <c r="N950" i="1"/>
  <c r="M950" i="1"/>
  <c r="O949" i="1"/>
  <c r="N949" i="1"/>
  <c r="M949" i="1"/>
  <c r="O948" i="1"/>
  <c r="N948" i="1"/>
  <c r="M948" i="1"/>
  <c r="O947" i="1"/>
  <c r="N947" i="1"/>
  <c r="M947" i="1"/>
  <c r="O946" i="1"/>
  <c r="N946" i="1"/>
  <c r="M946" i="1"/>
  <c r="O945" i="1"/>
  <c r="N945" i="1"/>
  <c r="M945" i="1"/>
  <c r="O944" i="1"/>
  <c r="N944" i="1"/>
  <c r="M944" i="1"/>
  <c r="O943" i="1"/>
  <c r="N943" i="1"/>
  <c r="M943" i="1"/>
  <c r="O942" i="1"/>
  <c r="N942" i="1"/>
  <c r="M942" i="1"/>
  <c r="O941" i="1"/>
  <c r="N941" i="1"/>
  <c r="M941" i="1"/>
  <c r="O940" i="1"/>
  <c r="N940" i="1"/>
  <c r="M940" i="1"/>
  <c r="O939" i="1"/>
  <c r="N939" i="1"/>
  <c r="M939" i="1"/>
  <c r="O938" i="1"/>
  <c r="N938" i="1"/>
  <c r="M938" i="1"/>
  <c r="O937" i="1"/>
  <c r="N937" i="1"/>
  <c r="M937" i="1"/>
  <c r="O936" i="1"/>
  <c r="N936" i="1"/>
  <c r="M936" i="1"/>
  <c r="O935" i="1"/>
  <c r="N935" i="1"/>
  <c r="M935" i="1"/>
  <c r="O934" i="1"/>
  <c r="N934" i="1"/>
  <c r="M934" i="1"/>
  <c r="O933" i="1"/>
  <c r="N933" i="1"/>
  <c r="M933" i="1"/>
  <c r="O932" i="1"/>
  <c r="N932" i="1"/>
  <c r="M932" i="1"/>
  <c r="O931" i="1"/>
  <c r="N931" i="1"/>
  <c r="M931" i="1"/>
  <c r="O930" i="1"/>
  <c r="N930" i="1"/>
  <c r="M930" i="1"/>
  <c r="O929" i="1"/>
  <c r="N929" i="1"/>
  <c r="M929" i="1"/>
  <c r="O928" i="1"/>
  <c r="N928" i="1"/>
  <c r="M928" i="1"/>
  <c r="O927" i="1"/>
  <c r="N927" i="1"/>
  <c r="M927" i="1"/>
  <c r="O926" i="1"/>
  <c r="N926" i="1"/>
  <c r="M926" i="1"/>
  <c r="O925" i="1"/>
  <c r="N925" i="1"/>
  <c r="M925" i="1"/>
  <c r="O924" i="1"/>
  <c r="N924" i="1"/>
  <c r="M924" i="1"/>
  <c r="O923" i="1"/>
  <c r="N923" i="1"/>
  <c r="M923" i="1"/>
  <c r="O922" i="1"/>
  <c r="N922" i="1"/>
  <c r="M922" i="1"/>
  <c r="O921" i="1"/>
  <c r="N921" i="1"/>
  <c r="M921" i="1"/>
  <c r="O920" i="1"/>
  <c r="N920" i="1"/>
  <c r="M920" i="1"/>
  <c r="O919" i="1"/>
  <c r="N919" i="1"/>
  <c r="M919" i="1"/>
  <c r="O918" i="1"/>
  <c r="N918" i="1"/>
  <c r="M918" i="1"/>
  <c r="O917" i="1"/>
  <c r="N917" i="1"/>
  <c r="M917" i="1"/>
  <c r="O916" i="1"/>
  <c r="N916" i="1"/>
  <c r="M916" i="1"/>
  <c r="O915" i="1"/>
  <c r="N915" i="1"/>
  <c r="M915" i="1"/>
  <c r="O914" i="1"/>
  <c r="N914" i="1"/>
  <c r="M914" i="1"/>
  <c r="O913" i="1"/>
  <c r="N913" i="1"/>
  <c r="M913" i="1"/>
  <c r="O912" i="1"/>
  <c r="N912" i="1"/>
  <c r="M912" i="1"/>
  <c r="O911" i="1"/>
  <c r="N911" i="1"/>
  <c r="M911" i="1"/>
  <c r="O910" i="1"/>
  <c r="N910" i="1"/>
  <c r="M910" i="1"/>
  <c r="O909" i="1"/>
  <c r="N909" i="1"/>
  <c r="M909" i="1"/>
  <c r="O908" i="1"/>
  <c r="N908" i="1"/>
  <c r="M908" i="1"/>
  <c r="O907" i="1"/>
  <c r="N907" i="1"/>
  <c r="M907" i="1"/>
  <c r="O906" i="1"/>
  <c r="N906" i="1"/>
  <c r="M906" i="1"/>
  <c r="O905" i="1"/>
  <c r="N905" i="1"/>
  <c r="M905" i="1"/>
  <c r="O904" i="1"/>
  <c r="N904" i="1"/>
  <c r="M904" i="1"/>
  <c r="O903" i="1"/>
  <c r="N903" i="1"/>
  <c r="M903" i="1"/>
  <c r="O902" i="1"/>
  <c r="N902" i="1"/>
  <c r="M902" i="1"/>
  <c r="O901" i="1"/>
  <c r="N901" i="1"/>
  <c r="M901" i="1"/>
  <c r="O900" i="1"/>
  <c r="N900" i="1"/>
  <c r="M900" i="1"/>
  <c r="O899" i="1"/>
  <c r="N899" i="1"/>
  <c r="M899" i="1"/>
  <c r="O898" i="1"/>
  <c r="N898" i="1"/>
  <c r="M898" i="1"/>
  <c r="O897" i="1"/>
  <c r="N897" i="1"/>
  <c r="M897" i="1"/>
  <c r="O896" i="1"/>
  <c r="N896" i="1"/>
  <c r="M896" i="1"/>
  <c r="O895" i="1"/>
  <c r="N895" i="1"/>
  <c r="M895" i="1"/>
  <c r="O894" i="1"/>
  <c r="N894" i="1"/>
  <c r="M894" i="1"/>
  <c r="O893" i="1"/>
  <c r="N893" i="1"/>
  <c r="M893" i="1"/>
  <c r="O892" i="1"/>
  <c r="N892" i="1"/>
  <c r="M892" i="1"/>
  <c r="O891" i="1"/>
  <c r="N891" i="1"/>
  <c r="M891" i="1"/>
  <c r="O890" i="1"/>
  <c r="N890" i="1"/>
  <c r="M890" i="1"/>
  <c r="O889" i="1"/>
  <c r="N889" i="1"/>
  <c r="M889" i="1"/>
  <c r="O888" i="1"/>
  <c r="N888" i="1"/>
  <c r="M888" i="1"/>
  <c r="O887" i="1"/>
  <c r="N887" i="1"/>
  <c r="M887" i="1"/>
  <c r="O886" i="1"/>
  <c r="N886" i="1"/>
  <c r="M886" i="1"/>
  <c r="O885" i="1"/>
  <c r="N885" i="1"/>
  <c r="M885" i="1"/>
  <c r="O884" i="1"/>
  <c r="N884" i="1"/>
  <c r="M884" i="1"/>
  <c r="O883" i="1"/>
  <c r="N883" i="1"/>
  <c r="M883" i="1"/>
  <c r="O882" i="1"/>
  <c r="N882" i="1"/>
  <c r="M882" i="1"/>
  <c r="O881" i="1"/>
  <c r="N881" i="1"/>
  <c r="M881" i="1"/>
  <c r="O880" i="1"/>
  <c r="N880" i="1"/>
  <c r="M880" i="1"/>
  <c r="O879" i="1"/>
  <c r="N879" i="1"/>
  <c r="M879" i="1"/>
  <c r="O878" i="1"/>
  <c r="N878" i="1"/>
  <c r="M878" i="1"/>
  <c r="O877" i="1"/>
  <c r="N877" i="1"/>
  <c r="M877" i="1"/>
  <c r="O876" i="1"/>
  <c r="N876" i="1"/>
  <c r="M876" i="1"/>
  <c r="O875" i="1"/>
  <c r="N875" i="1"/>
  <c r="M875" i="1"/>
  <c r="O874" i="1"/>
  <c r="N874" i="1"/>
  <c r="M874" i="1"/>
  <c r="O873" i="1"/>
  <c r="N873" i="1"/>
  <c r="M873" i="1"/>
  <c r="O872" i="1"/>
  <c r="N872" i="1"/>
  <c r="M872" i="1"/>
  <c r="O871" i="1"/>
  <c r="N871" i="1"/>
  <c r="M871" i="1"/>
  <c r="O870" i="1"/>
  <c r="N870" i="1"/>
  <c r="M870" i="1"/>
  <c r="O869" i="1"/>
  <c r="N869" i="1"/>
  <c r="M869" i="1"/>
  <c r="O868" i="1"/>
  <c r="N868" i="1"/>
  <c r="M868" i="1"/>
  <c r="O867" i="1"/>
  <c r="N867" i="1"/>
  <c r="M867" i="1"/>
  <c r="O866" i="1"/>
  <c r="N866" i="1"/>
  <c r="M866" i="1"/>
  <c r="O865" i="1"/>
  <c r="N865" i="1"/>
  <c r="M865" i="1"/>
  <c r="O864" i="1"/>
  <c r="N864" i="1"/>
  <c r="M864" i="1"/>
  <c r="O863" i="1"/>
  <c r="N863" i="1"/>
  <c r="M863" i="1"/>
  <c r="O862" i="1"/>
  <c r="N862" i="1"/>
  <c r="M862" i="1"/>
  <c r="O861" i="1"/>
  <c r="N861" i="1"/>
  <c r="M861" i="1"/>
  <c r="O860" i="1"/>
  <c r="N860" i="1"/>
  <c r="M860" i="1"/>
  <c r="O859" i="1"/>
  <c r="N859" i="1"/>
  <c r="M859" i="1"/>
  <c r="O858" i="1"/>
  <c r="N858" i="1"/>
  <c r="M858" i="1"/>
  <c r="O857" i="1"/>
  <c r="N857" i="1"/>
  <c r="M857" i="1"/>
  <c r="O856" i="1"/>
  <c r="N856" i="1"/>
  <c r="M856" i="1"/>
  <c r="O855" i="1"/>
  <c r="N855" i="1"/>
  <c r="M855" i="1"/>
  <c r="O854" i="1"/>
  <c r="N854" i="1"/>
  <c r="M854" i="1"/>
  <c r="O853" i="1"/>
  <c r="N853" i="1"/>
  <c r="M853" i="1"/>
  <c r="O852" i="1"/>
  <c r="N852" i="1"/>
  <c r="M852" i="1"/>
  <c r="O851" i="1"/>
  <c r="N851" i="1"/>
  <c r="M851" i="1"/>
  <c r="O850" i="1"/>
  <c r="N850" i="1"/>
  <c r="M850" i="1"/>
  <c r="O849" i="1"/>
  <c r="N849" i="1"/>
  <c r="M849" i="1"/>
  <c r="O848" i="1"/>
  <c r="N848" i="1"/>
  <c r="M848" i="1"/>
  <c r="O847" i="1"/>
  <c r="N847" i="1"/>
  <c r="M847" i="1"/>
  <c r="O846" i="1"/>
  <c r="N846" i="1"/>
  <c r="M846" i="1"/>
  <c r="O845" i="1"/>
  <c r="N845" i="1"/>
  <c r="M845" i="1"/>
  <c r="O844" i="1"/>
  <c r="N844" i="1"/>
  <c r="M844" i="1"/>
  <c r="O843" i="1"/>
  <c r="N843" i="1"/>
  <c r="M843" i="1"/>
  <c r="O842" i="1"/>
  <c r="N842" i="1"/>
  <c r="M842" i="1"/>
  <c r="O841" i="1"/>
  <c r="N841" i="1"/>
  <c r="M841" i="1"/>
  <c r="O840" i="1"/>
  <c r="N840" i="1"/>
  <c r="M840" i="1"/>
  <c r="O839" i="1"/>
  <c r="N839" i="1"/>
  <c r="M839" i="1"/>
  <c r="O838" i="1"/>
  <c r="N838" i="1"/>
  <c r="M838" i="1"/>
  <c r="O837" i="1"/>
  <c r="N837" i="1"/>
  <c r="M837" i="1"/>
  <c r="O836" i="1"/>
  <c r="N836" i="1"/>
  <c r="M836" i="1"/>
  <c r="O835" i="1"/>
  <c r="N835" i="1"/>
  <c r="M835" i="1"/>
  <c r="O834" i="1"/>
  <c r="N834" i="1"/>
  <c r="M834" i="1"/>
  <c r="O833" i="1"/>
  <c r="N833" i="1"/>
  <c r="M833" i="1"/>
  <c r="O832" i="1"/>
  <c r="N832" i="1"/>
  <c r="M832" i="1"/>
  <c r="O831" i="1"/>
  <c r="N831" i="1"/>
  <c r="M831" i="1"/>
  <c r="O830" i="1"/>
  <c r="N830" i="1"/>
  <c r="M830" i="1"/>
  <c r="O829" i="1"/>
  <c r="N829" i="1"/>
  <c r="M829" i="1"/>
  <c r="O828" i="1"/>
  <c r="N828" i="1"/>
  <c r="M828" i="1"/>
  <c r="O827" i="1"/>
  <c r="N827" i="1"/>
  <c r="M827" i="1"/>
  <c r="O826" i="1"/>
  <c r="N826" i="1"/>
  <c r="M826" i="1"/>
  <c r="O825" i="1"/>
  <c r="N825" i="1"/>
  <c r="M825" i="1"/>
  <c r="O824" i="1"/>
  <c r="N824" i="1"/>
  <c r="M824" i="1"/>
  <c r="O823" i="1"/>
  <c r="N823" i="1"/>
  <c r="M823" i="1"/>
  <c r="O822" i="1"/>
  <c r="N822" i="1"/>
  <c r="M822" i="1"/>
  <c r="O821" i="1"/>
  <c r="N821" i="1"/>
  <c r="M821" i="1"/>
  <c r="O820" i="1"/>
  <c r="N820" i="1"/>
  <c r="M820" i="1"/>
  <c r="O819" i="1"/>
  <c r="N819" i="1"/>
  <c r="M819" i="1"/>
  <c r="O818" i="1"/>
  <c r="N818" i="1"/>
  <c r="M818" i="1"/>
  <c r="O817" i="1"/>
  <c r="N817" i="1"/>
  <c r="M817" i="1"/>
  <c r="O816" i="1"/>
  <c r="N816" i="1"/>
  <c r="M816" i="1"/>
  <c r="O815" i="1"/>
  <c r="N815" i="1"/>
  <c r="M815" i="1"/>
  <c r="O814" i="1"/>
  <c r="N814" i="1"/>
  <c r="M814" i="1"/>
  <c r="O813" i="1"/>
  <c r="N813" i="1"/>
  <c r="M813" i="1"/>
  <c r="O812" i="1"/>
  <c r="N812" i="1"/>
  <c r="M812" i="1"/>
  <c r="O811" i="1"/>
  <c r="N811" i="1"/>
  <c r="M811" i="1"/>
  <c r="O810" i="1"/>
  <c r="N810" i="1"/>
  <c r="M810" i="1"/>
  <c r="O809" i="1"/>
  <c r="N809" i="1"/>
  <c r="M809" i="1"/>
  <c r="O808" i="1"/>
  <c r="N808" i="1"/>
  <c r="M808" i="1"/>
  <c r="O807" i="1"/>
  <c r="N807" i="1"/>
  <c r="M807" i="1"/>
  <c r="O806" i="1"/>
  <c r="N806" i="1"/>
  <c r="M806" i="1"/>
  <c r="O805" i="1"/>
  <c r="N805" i="1"/>
  <c r="M805" i="1"/>
  <c r="O804" i="1"/>
  <c r="N804" i="1"/>
  <c r="M804" i="1"/>
  <c r="O803" i="1"/>
  <c r="N803" i="1"/>
  <c r="M803" i="1"/>
  <c r="O802" i="1"/>
  <c r="N802" i="1"/>
  <c r="M802" i="1"/>
  <c r="O801" i="1"/>
  <c r="N801" i="1"/>
  <c r="M801" i="1"/>
  <c r="O800" i="1"/>
  <c r="N800" i="1"/>
  <c r="M800" i="1"/>
  <c r="O799" i="1"/>
  <c r="N799" i="1"/>
  <c r="M799" i="1"/>
  <c r="O798" i="1"/>
  <c r="N798" i="1"/>
  <c r="M798" i="1"/>
  <c r="O797" i="1"/>
  <c r="N797" i="1"/>
  <c r="M797" i="1"/>
  <c r="O796" i="1"/>
  <c r="N796" i="1"/>
  <c r="M796" i="1"/>
  <c r="O795" i="1"/>
  <c r="N795" i="1"/>
  <c r="M795" i="1"/>
  <c r="O794" i="1"/>
  <c r="N794" i="1"/>
  <c r="M794" i="1"/>
  <c r="O793" i="1"/>
  <c r="N793" i="1"/>
  <c r="M793" i="1"/>
  <c r="O792" i="1"/>
  <c r="N792" i="1"/>
  <c r="M792" i="1"/>
  <c r="O791" i="1"/>
  <c r="N791" i="1"/>
  <c r="M791" i="1"/>
  <c r="O790" i="1"/>
  <c r="N790" i="1"/>
  <c r="M790" i="1"/>
  <c r="O789" i="1"/>
  <c r="N789" i="1"/>
  <c r="M789" i="1"/>
  <c r="O788" i="1"/>
  <c r="N788" i="1"/>
  <c r="M788" i="1"/>
  <c r="O787" i="1"/>
  <c r="N787" i="1"/>
  <c r="M787" i="1"/>
  <c r="O786" i="1"/>
  <c r="N786" i="1"/>
  <c r="M786" i="1"/>
  <c r="O785" i="1"/>
  <c r="N785" i="1"/>
  <c r="M785" i="1"/>
  <c r="O784" i="1"/>
  <c r="N784" i="1"/>
  <c r="M784" i="1"/>
  <c r="O783" i="1"/>
  <c r="N783" i="1"/>
  <c r="M783" i="1"/>
  <c r="O782" i="1"/>
  <c r="N782" i="1"/>
  <c r="M782" i="1"/>
  <c r="O781" i="1"/>
  <c r="N781" i="1"/>
  <c r="M781" i="1"/>
  <c r="O780" i="1"/>
  <c r="N780" i="1"/>
  <c r="M780" i="1"/>
  <c r="O779" i="1"/>
  <c r="N779" i="1"/>
  <c r="M779" i="1"/>
  <c r="O778" i="1"/>
  <c r="N778" i="1"/>
  <c r="M778" i="1"/>
  <c r="O777" i="1"/>
  <c r="N777" i="1"/>
  <c r="M777" i="1"/>
  <c r="O776" i="1"/>
  <c r="N776" i="1"/>
  <c r="M776" i="1"/>
  <c r="O775" i="1"/>
  <c r="N775" i="1"/>
  <c r="M775" i="1"/>
  <c r="O774" i="1"/>
  <c r="N774" i="1"/>
  <c r="M774" i="1"/>
  <c r="O773" i="1"/>
  <c r="N773" i="1"/>
  <c r="M773" i="1"/>
  <c r="O772" i="1"/>
  <c r="N772" i="1"/>
  <c r="M772" i="1"/>
  <c r="O771" i="1"/>
  <c r="N771" i="1"/>
  <c r="M771" i="1"/>
  <c r="O770" i="1"/>
  <c r="N770" i="1"/>
  <c r="M770" i="1"/>
  <c r="O769" i="1"/>
  <c r="N769" i="1"/>
  <c r="M769" i="1"/>
  <c r="O768" i="1"/>
  <c r="N768" i="1"/>
  <c r="M768" i="1"/>
  <c r="O767" i="1"/>
  <c r="N767" i="1"/>
  <c r="M767" i="1"/>
  <c r="O766" i="1"/>
  <c r="N766" i="1"/>
  <c r="M766" i="1"/>
  <c r="O765" i="1"/>
  <c r="N765" i="1"/>
  <c r="M765" i="1"/>
  <c r="O764" i="1"/>
  <c r="N764" i="1"/>
  <c r="M764" i="1"/>
  <c r="O763" i="1"/>
  <c r="N763" i="1"/>
  <c r="M763" i="1"/>
  <c r="O762" i="1"/>
  <c r="N762" i="1"/>
  <c r="M762" i="1"/>
  <c r="O761" i="1"/>
  <c r="N761" i="1"/>
  <c r="M761" i="1"/>
  <c r="O760" i="1"/>
  <c r="N760" i="1"/>
  <c r="M760" i="1"/>
  <c r="O759" i="1"/>
  <c r="N759" i="1"/>
  <c r="M759" i="1"/>
  <c r="O758" i="1"/>
  <c r="N758" i="1"/>
  <c r="M758" i="1"/>
  <c r="O757" i="1"/>
  <c r="N757" i="1"/>
  <c r="M757" i="1"/>
  <c r="O756" i="1"/>
  <c r="N756" i="1"/>
  <c r="M756" i="1"/>
  <c r="O755" i="1"/>
  <c r="N755" i="1"/>
  <c r="M755" i="1"/>
  <c r="O754" i="1"/>
  <c r="N754" i="1"/>
  <c r="M754" i="1"/>
  <c r="O753" i="1"/>
  <c r="N753" i="1"/>
  <c r="M753" i="1"/>
  <c r="O752" i="1"/>
  <c r="N752" i="1"/>
  <c r="M752" i="1"/>
  <c r="O751" i="1"/>
  <c r="N751" i="1"/>
  <c r="M751" i="1"/>
  <c r="O750" i="1"/>
  <c r="N750" i="1"/>
  <c r="M750" i="1"/>
  <c r="O749" i="1"/>
  <c r="N749" i="1"/>
  <c r="M749" i="1"/>
  <c r="O748" i="1"/>
  <c r="N748" i="1"/>
  <c r="M748" i="1"/>
  <c r="O747" i="1"/>
  <c r="N747" i="1"/>
  <c r="M747" i="1"/>
  <c r="O746" i="1"/>
  <c r="N746" i="1"/>
  <c r="M746" i="1"/>
  <c r="O745" i="1"/>
  <c r="N745" i="1"/>
  <c r="M745" i="1"/>
  <c r="O744" i="1"/>
  <c r="N744" i="1"/>
  <c r="M744" i="1"/>
  <c r="O743" i="1"/>
  <c r="N743" i="1"/>
  <c r="M743" i="1"/>
  <c r="O742" i="1"/>
  <c r="N742" i="1"/>
  <c r="M742" i="1"/>
  <c r="O741" i="1"/>
  <c r="N741" i="1"/>
  <c r="M741" i="1"/>
  <c r="O740" i="1"/>
  <c r="N740" i="1"/>
  <c r="M740" i="1"/>
  <c r="O739" i="1"/>
  <c r="N739" i="1"/>
  <c r="M739" i="1"/>
  <c r="O738" i="1"/>
  <c r="N738" i="1"/>
  <c r="M738" i="1"/>
  <c r="O737" i="1"/>
  <c r="N737" i="1"/>
  <c r="M737" i="1"/>
  <c r="O736" i="1"/>
  <c r="N736" i="1"/>
  <c r="M736" i="1"/>
  <c r="O735" i="1"/>
  <c r="N735" i="1"/>
  <c r="M735" i="1"/>
  <c r="O734" i="1"/>
  <c r="N734" i="1"/>
  <c r="M734" i="1"/>
  <c r="O733" i="1"/>
  <c r="N733" i="1"/>
  <c r="M733" i="1"/>
  <c r="O732" i="1"/>
  <c r="N732" i="1"/>
  <c r="M732" i="1"/>
  <c r="O731" i="1"/>
  <c r="N731" i="1"/>
  <c r="M731" i="1"/>
  <c r="O730" i="1"/>
  <c r="N730" i="1"/>
  <c r="M730" i="1"/>
  <c r="O729" i="1"/>
  <c r="N729" i="1"/>
  <c r="M729" i="1"/>
  <c r="O728" i="1"/>
  <c r="N728" i="1"/>
  <c r="M728" i="1"/>
  <c r="O727" i="1"/>
  <c r="N727" i="1"/>
  <c r="M727" i="1"/>
  <c r="O726" i="1"/>
  <c r="N726" i="1"/>
  <c r="M726" i="1"/>
  <c r="O725" i="1"/>
  <c r="N725" i="1"/>
  <c r="M725" i="1"/>
  <c r="O724" i="1"/>
  <c r="N724" i="1"/>
  <c r="M724" i="1"/>
  <c r="O723" i="1"/>
  <c r="N723" i="1"/>
  <c r="M723" i="1"/>
  <c r="O722" i="1"/>
  <c r="N722" i="1"/>
  <c r="M722" i="1"/>
  <c r="O721" i="1"/>
  <c r="N721" i="1"/>
  <c r="M721" i="1"/>
  <c r="O720" i="1"/>
  <c r="N720" i="1"/>
  <c r="M720" i="1"/>
  <c r="O719" i="1"/>
  <c r="N719" i="1"/>
  <c r="M719" i="1"/>
  <c r="O718" i="1"/>
  <c r="N718" i="1"/>
  <c r="M718" i="1"/>
  <c r="O717" i="1"/>
  <c r="N717" i="1"/>
  <c r="M717" i="1"/>
  <c r="O716" i="1"/>
  <c r="N716" i="1"/>
  <c r="M716" i="1"/>
  <c r="O715" i="1"/>
  <c r="N715" i="1"/>
  <c r="M715" i="1"/>
  <c r="O714" i="1"/>
  <c r="N714" i="1"/>
  <c r="M714" i="1"/>
  <c r="O713" i="1"/>
  <c r="N713" i="1"/>
  <c r="M713" i="1"/>
  <c r="O712" i="1"/>
  <c r="N712" i="1"/>
  <c r="M712" i="1"/>
  <c r="O711" i="1"/>
  <c r="N711" i="1"/>
  <c r="M711" i="1"/>
  <c r="O710" i="1"/>
  <c r="N710" i="1"/>
  <c r="M710" i="1"/>
  <c r="O709" i="1"/>
  <c r="N709" i="1"/>
  <c r="M709" i="1"/>
  <c r="O708" i="1"/>
  <c r="N708" i="1"/>
  <c r="M708" i="1"/>
  <c r="O707" i="1"/>
  <c r="N707" i="1"/>
  <c r="M707" i="1"/>
  <c r="O706" i="1"/>
  <c r="N706" i="1"/>
  <c r="M706" i="1"/>
  <c r="O705" i="1"/>
  <c r="N705" i="1"/>
  <c r="M705" i="1"/>
  <c r="O704" i="1"/>
  <c r="N704" i="1"/>
  <c r="M704" i="1"/>
  <c r="O703" i="1"/>
  <c r="N703" i="1"/>
  <c r="M703" i="1"/>
  <c r="O702" i="1"/>
  <c r="N702" i="1"/>
  <c r="M702" i="1"/>
  <c r="O701" i="1"/>
  <c r="N701" i="1"/>
  <c r="M701" i="1"/>
  <c r="O700" i="1"/>
  <c r="N700" i="1"/>
  <c r="M700" i="1"/>
  <c r="O699" i="1"/>
  <c r="N699" i="1"/>
  <c r="M699" i="1"/>
  <c r="O698" i="1"/>
  <c r="N698" i="1"/>
  <c r="M698" i="1"/>
  <c r="O697" i="1"/>
  <c r="N697" i="1"/>
  <c r="M697" i="1"/>
  <c r="O696" i="1"/>
  <c r="N696" i="1"/>
  <c r="M696" i="1"/>
  <c r="O695" i="1"/>
  <c r="N695" i="1"/>
  <c r="M695" i="1"/>
  <c r="O694" i="1"/>
  <c r="N694" i="1"/>
  <c r="M694" i="1"/>
  <c r="O693" i="1"/>
  <c r="N693" i="1"/>
  <c r="M693" i="1"/>
  <c r="O692" i="1"/>
  <c r="N692" i="1"/>
  <c r="M692" i="1"/>
  <c r="O691" i="1"/>
  <c r="N691" i="1"/>
  <c r="M691" i="1"/>
  <c r="O690" i="1"/>
  <c r="N690" i="1"/>
  <c r="M690" i="1"/>
  <c r="O689" i="1"/>
  <c r="N689" i="1"/>
  <c r="M689" i="1"/>
  <c r="O688" i="1"/>
  <c r="N688" i="1"/>
  <c r="M688" i="1"/>
  <c r="O687" i="1"/>
  <c r="N687" i="1"/>
  <c r="M687" i="1"/>
  <c r="O686" i="1"/>
  <c r="N686" i="1"/>
  <c r="M686" i="1"/>
  <c r="O685" i="1"/>
  <c r="N685" i="1"/>
  <c r="M685" i="1"/>
  <c r="O684" i="1"/>
  <c r="N684" i="1"/>
  <c r="M684" i="1"/>
  <c r="O683" i="1"/>
  <c r="N683" i="1"/>
  <c r="M683" i="1"/>
  <c r="O682" i="1"/>
  <c r="N682" i="1"/>
  <c r="M682" i="1"/>
  <c r="O681" i="1"/>
  <c r="N681" i="1"/>
  <c r="M681" i="1"/>
  <c r="O680" i="1"/>
  <c r="N680" i="1"/>
  <c r="M680" i="1"/>
  <c r="O679" i="1"/>
  <c r="N679" i="1"/>
  <c r="M679" i="1"/>
  <c r="O678" i="1"/>
  <c r="N678" i="1"/>
  <c r="M678" i="1"/>
  <c r="O677" i="1"/>
  <c r="N677" i="1"/>
  <c r="M677" i="1"/>
  <c r="O676" i="1"/>
  <c r="N676" i="1"/>
  <c r="M676" i="1"/>
  <c r="O675" i="1"/>
  <c r="N675" i="1"/>
  <c r="M675" i="1"/>
  <c r="O674" i="1"/>
  <c r="N674" i="1"/>
  <c r="M674" i="1"/>
  <c r="O673" i="1"/>
  <c r="N673" i="1"/>
  <c r="M673" i="1"/>
  <c r="O672" i="1"/>
  <c r="N672" i="1"/>
  <c r="M672" i="1"/>
  <c r="O671" i="1"/>
  <c r="N671" i="1"/>
  <c r="M671" i="1"/>
  <c r="O670" i="1"/>
  <c r="N670" i="1"/>
  <c r="M670" i="1"/>
  <c r="O669" i="1"/>
  <c r="N669" i="1"/>
  <c r="M669" i="1"/>
  <c r="O668" i="1"/>
  <c r="N668" i="1"/>
  <c r="M668" i="1"/>
  <c r="O667" i="1"/>
  <c r="N667" i="1"/>
  <c r="M667" i="1"/>
  <c r="O666" i="1"/>
  <c r="N666" i="1"/>
  <c r="M666" i="1"/>
  <c r="O665" i="1"/>
  <c r="N665" i="1"/>
  <c r="M665" i="1"/>
  <c r="O664" i="1"/>
  <c r="N664" i="1"/>
  <c r="M664" i="1"/>
  <c r="O663" i="1"/>
  <c r="N663" i="1"/>
  <c r="M663" i="1"/>
  <c r="O662" i="1"/>
  <c r="N662" i="1"/>
  <c r="M662" i="1"/>
  <c r="O661" i="1"/>
  <c r="N661" i="1"/>
  <c r="M661" i="1"/>
  <c r="O660" i="1"/>
  <c r="N660" i="1"/>
  <c r="M660" i="1"/>
  <c r="O659" i="1"/>
  <c r="N659" i="1"/>
  <c r="M659" i="1"/>
  <c r="O658" i="1"/>
  <c r="N658" i="1"/>
  <c r="M658" i="1"/>
  <c r="O657" i="1"/>
  <c r="N657" i="1"/>
  <c r="M657" i="1"/>
  <c r="O656" i="1"/>
  <c r="N656" i="1"/>
  <c r="M656" i="1"/>
  <c r="O655" i="1"/>
  <c r="N655" i="1"/>
  <c r="M655" i="1"/>
  <c r="O654" i="1"/>
  <c r="N654" i="1"/>
  <c r="M654" i="1"/>
  <c r="O653" i="1"/>
  <c r="N653" i="1"/>
  <c r="M653" i="1"/>
  <c r="O652" i="1"/>
  <c r="N652" i="1"/>
  <c r="M652" i="1"/>
  <c r="O651" i="1"/>
  <c r="N651" i="1"/>
  <c r="M651" i="1"/>
  <c r="O650" i="1"/>
  <c r="N650" i="1"/>
  <c r="M650" i="1"/>
  <c r="O649" i="1"/>
  <c r="N649" i="1"/>
  <c r="M649" i="1"/>
  <c r="O648" i="1"/>
  <c r="N648" i="1"/>
  <c r="M648" i="1"/>
  <c r="O647" i="1"/>
  <c r="N647" i="1"/>
  <c r="M647" i="1"/>
  <c r="O646" i="1"/>
  <c r="N646" i="1"/>
  <c r="M646" i="1"/>
  <c r="O645" i="1"/>
  <c r="N645" i="1"/>
  <c r="M645" i="1"/>
  <c r="O644" i="1"/>
  <c r="N644" i="1"/>
  <c r="M644" i="1"/>
  <c r="O643" i="1"/>
  <c r="N643" i="1"/>
  <c r="M643" i="1"/>
  <c r="O642" i="1"/>
  <c r="N642" i="1"/>
  <c r="M642" i="1"/>
  <c r="O641" i="1"/>
  <c r="N641" i="1"/>
  <c r="M641" i="1"/>
  <c r="O640" i="1"/>
  <c r="N640" i="1"/>
  <c r="M640" i="1"/>
  <c r="O639" i="1"/>
  <c r="N639" i="1"/>
  <c r="M639" i="1"/>
  <c r="O638" i="1"/>
  <c r="N638" i="1"/>
  <c r="M638" i="1"/>
  <c r="O637" i="1"/>
  <c r="N637" i="1"/>
  <c r="M637" i="1"/>
  <c r="O636" i="1"/>
  <c r="N636" i="1"/>
  <c r="M636" i="1"/>
  <c r="O635" i="1"/>
  <c r="N635" i="1"/>
  <c r="M635" i="1"/>
  <c r="O634" i="1"/>
  <c r="N634" i="1"/>
  <c r="M634" i="1"/>
  <c r="O633" i="1"/>
  <c r="N633" i="1"/>
  <c r="M633" i="1"/>
  <c r="O632" i="1"/>
  <c r="N632" i="1"/>
  <c r="M632" i="1"/>
  <c r="O631" i="1"/>
  <c r="N631" i="1"/>
  <c r="M631" i="1"/>
  <c r="O630" i="1"/>
  <c r="N630" i="1"/>
  <c r="M630" i="1"/>
  <c r="O629" i="1"/>
  <c r="N629" i="1"/>
  <c r="M629" i="1"/>
  <c r="O628" i="1"/>
  <c r="N628" i="1"/>
  <c r="M628" i="1"/>
  <c r="O627" i="1"/>
  <c r="N627" i="1"/>
  <c r="M627" i="1"/>
  <c r="O626" i="1"/>
  <c r="N626" i="1"/>
  <c r="M626" i="1"/>
  <c r="O625" i="1"/>
  <c r="N625" i="1"/>
  <c r="M625" i="1"/>
  <c r="O624" i="1"/>
  <c r="N624" i="1"/>
  <c r="M624" i="1"/>
  <c r="O623" i="1"/>
  <c r="N623" i="1"/>
  <c r="M623" i="1"/>
  <c r="O622" i="1"/>
  <c r="N622" i="1"/>
  <c r="M622" i="1"/>
  <c r="O621" i="1"/>
  <c r="N621" i="1"/>
  <c r="M621" i="1"/>
  <c r="O620" i="1"/>
  <c r="N620" i="1"/>
  <c r="M620" i="1"/>
  <c r="O619" i="1"/>
  <c r="N619" i="1"/>
  <c r="M619" i="1"/>
  <c r="O618" i="1"/>
  <c r="N618" i="1"/>
  <c r="M618" i="1"/>
  <c r="O617" i="1"/>
  <c r="N617" i="1"/>
  <c r="M617" i="1"/>
  <c r="O616" i="1"/>
  <c r="N616" i="1"/>
  <c r="M616" i="1"/>
  <c r="O615" i="1"/>
  <c r="N615" i="1"/>
  <c r="M615" i="1"/>
  <c r="O614" i="1"/>
  <c r="N614" i="1"/>
  <c r="M614" i="1"/>
  <c r="O613" i="1"/>
  <c r="N613" i="1"/>
  <c r="M613" i="1"/>
  <c r="O612" i="1"/>
  <c r="N612" i="1"/>
  <c r="M612" i="1"/>
  <c r="O611" i="1"/>
  <c r="N611" i="1"/>
  <c r="M611" i="1"/>
  <c r="O610" i="1"/>
  <c r="N610" i="1"/>
  <c r="M610" i="1"/>
  <c r="O609" i="1"/>
  <c r="N609" i="1"/>
  <c r="M609" i="1"/>
  <c r="O608" i="1"/>
  <c r="N608" i="1"/>
  <c r="M608" i="1"/>
  <c r="O607" i="1"/>
  <c r="N607" i="1"/>
  <c r="M607" i="1"/>
  <c r="O606" i="1"/>
  <c r="N606" i="1"/>
  <c r="M606" i="1"/>
  <c r="O605" i="1"/>
  <c r="N605" i="1"/>
  <c r="M605" i="1"/>
  <c r="O604" i="1"/>
  <c r="N604" i="1"/>
  <c r="M604" i="1"/>
  <c r="O603" i="1"/>
  <c r="N603" i="1"/>
  <c r="M603" i="1"/>
  <c r="O602" i="1"/>
  <c r="N602" i="1"/>
  <c r="M602" i="1"/>
  <c r="O601" i="1"/>
  <c r="N601" i="1"/>
  <c r="M601" i="1"/>
  <c r="O600" i="1"/>
  <c r="N600" i="1"/>
  <c r="M600" i="1"/>
  <c r="O599" i="1"/>
  <c r="N599" i="1"/>
  <c r="M599" i="1"/>
  <c r="O598" i="1"/>
  <c r="N598" i="1"/>
  <c r="M598" i="1"/>
  <c r="O597" i="1"/>
  <c r="N597" i="1"/>
  <c r="M597" i="1"/>
  <c r="O596" i="1"/>
  <c r="N596" i="1"/>
  <c r="M596" i="1"/>
  <c r="O595" i="1"/>
  <c r="N595" i="1"/>
  <c r="M595" i="1"/>
  <c r="O594" i="1"/>
  <c r="N594" i="1"/>
  <c r="M594" i="1"/>
  <c r="O593" i="1"/>
  <c r="N593" i="1"/>
  <c r="M593" i="1"/>
  <c r="O592" i="1"/>
  <c r="N592" i="1"/>
  <c r="M592" i="1"/>
  <c r="O591" i="1"/>
  <c r="N591" i="1"/>
  <c r="M591" i="1"/>
  <c r="O590" i="1"/>
  <c r="N590" i="1"/>
  <c r="M590" i="1"/>
  <c r="O589" i="1"/>
  <c r="N589" i="1"/>
  <c r="M589" i="1"/>
  <c r="O588" i="1"/>
  <c r="N588" i="1"/>
  <c r="M588" i="1"/>
  <c r="O587" i="1"/>
  <c r="N587" i="1"/>
  <c r="M587" i="1"/>
  <c r="O586" i="1"/>
  <c r="N586" i="1"/>
  <c r="M586" i="1"/>
  <c r="O585" i="1"/>
  <c r="N585" i="1"/>
  <c r="M585" i="1"/>
  <c r="O584" i="1"/>
  <c r="N584" i="1"/>
  <c r="M584" i="1"/>
  <c r="O583" i="1"/>
  <c r="N583" i="1"/>
  <c r="M583" i="1"/>
  <c r="O582" i="1"/>
  <c r="N582" i="1"/>
  <c r="M582" i="1"/>
  <c r="O581" i="1"/>
  <c r="N581" i="1"/>
  <c r="M581" i="1"/>
  <c r="O580" i="1"/>
  <c r="N580" i="1"/>
  <c r="M580" i="1"/>
  <c r="O579" i="1"/>
  <c r="N579" i="1"/>
  <c r="M579" i="1"/>
  <c r="O578" i="1"/>
  <c r="N578" i="1"/>
  <c r="M578" i="1"/>
  <c r="O577" i="1"/>
  <c r="N577" i="1"/>
  <c r="M577" i="1"/>
  <c r="O576" i="1"/>
  <c r="N576" i="1"/>
  <c r="M576" i="1"/>
  <c r="O575" i="1"/>
  <c r="N575" i="1"/>
  <c r="M575" i="1"/>
  <c r="O574" i="1"/>
  <c r="N574" i="1"/>
  <c r="M574" i="1"/>
  <c r="O573" i="1"/>
  <c r="N573" i="1"/>
  <c r="M573" i="1"/>
  <c r="O572" i="1"/>
  <c r="N572" i="1"/>
  <c r="M572" i="1"/>
  <c r="O571" i="1"/>
  <c r="N571" i="1"/>
  <c r="M571" i="1"/>
  <c r="O570" i="1"/>
  <c r="N570" i="1"/>
  <c r="M570" i="1"/>
  <c r="O569" i="1"/>
  <c r="N569" i="1"/>
  <c r="M569" i="1"/>
  <c r="O568" i="1"/>
  <c r="N568" i="1"/>
  <c r="M568" i="1"/>
  <c r="O567" i="1"/>
  <c r="N567" i="1"/>
  <c r="M567" i="1"/>
  <c r="O566" i="1"/>
  <c r="N566" i="1"/>
  <c r="M566" i="1"/>
  <c r="O565" i="1"/>
  <c r="N565" i="1"/>
  <c r="M565" i="1"/>
  <c r="O564" i="1"/>
  <c r="N564" i="1"/>
  <c r="M564" i="1"/>
  <c r="O563" i="1"/>
  <c r="N563" i="1"/>
  <c r="M563" i="1"/>
  <c r="O562" i="1"/>
  <c r="N562" i="1"/>
  <c r="M562" i="1"/>
  <c r="O561" i="1"/>
  <c r="N561" i="1"/>
  <c r="M561" i="1"/>
  <c r="O560" i="1"/>
  <c r="N560" i="1"/>
  <c r="M560" i="1"/>
  <c r="O559" i="1"/>
  <c r="N559" i="1"/>
  <c r="M559" i="1"/>
  <c r="O558" i="1"/>
  <c r="N558" i="1"/>
  <c r="M558" i="1"/>
  <c r="O557" i="1"/>
  <c r="N557" i="1"/>
  <c r="M557" i="1"/>
  <c r="O556" i="1"/>
  <c r="N556" i="1"/>
  <c r="M556" i="1"/>
  <c r="O555" i="1"/>
  <c r="N555" i="1"/>
  <c r="M555" i="1"/>
  <c r="O554" i="1"/>
  <c r="N554" i="1"/>
  <c r="M554" i="1"/>
  <c r="O553" i="1"/>
  <c r="N553" i="1"/>
  <c r="M553" i="1"/>
  <c r="O552" i="1"/>
  <c r="N552" i="1"/>
  <c r="M552" i="1"/>
  <c r="O551" i="1"/>
  <c r="N551" i="1"/>
  <c r="M551" i="1"/>
  <c r="O550" i="1"/>
  <c r="N550" i="1"/>
  <c r="M550" i="1"/>
  <c r="O549" i="1"/>
  <c r="N549" i="1"/>
  <c r="M549" i="1"/>
  <c r="O548" i="1"/>
  <c r="N548" i="1"/>
  <c r="M548" i="1"/>
  <c r="O547" i="1"/>
  <c r="N547" i="1"/>
  <c r="M547" i="1"/>
  <c r="O546" i="1"/>
  <c r="N546" i="1"/>
  <c r="M546" i="1"/>
  <c r="O545" i="1"/>
  <c r="N545" i="1"/>
  <c r="M545" i="1"/>
  <c r="O544" i="1"/>
  <c r="N544" i="1"/>
  <c r="M544" i="1"/>
  <c r="O543" i="1"/>
  <c r="N543" i="1"/>
  <c r="M543" i="1"/>
  <c r="O542" i="1"/>
  <c r="N542" i="1"/>
  <c r="M542" i="1"/>
  <c r="O541" i="1"/>
  <c r="N541" i="1"/>
  <c r="M541" i="1"/>
  <c r="O540" i="1"/>
  <c r="N540" i="1"/>
  <c r="M540" i="1"/>
  <c r="O539" i="1"/>
  <c r="N539" i="1"/>
  <c r="M539" i="1"/>
  <c r="O538" i="1"/>
  <c r="N538" i="1"/>
  <c r="M538" i="1"/>
  <c r="O537" i="1"/>
  <c r="N537" i="1"/>
  <c r="M537" i="1"/>
  <c r="O536" i="1"/>
  <c r="N536" i="1"/>
  <c r="M536" i="1"/>
  <c r="O535" i="1"/>
  <c r="N535" i="1"/>
  <c r="M535" i="1"/>
  <c r="O534" i="1"/>
  <c r="N534" i="1"/>
  <c r="M534" i="1"/>
  <c r="O533" i="1"/>
  <c r="N533" i="1"/>
  <c r="M533" i="1"/>
  <c r="O532" i="1"/>
  <c r="N532" i="1"/>
  <c r="M532" i="1"/>
  <c r="O531" i="1"/>
  <c r="N531" i="1"/>
  <c r="M531" i="1"/>
  <c r="O530" i="1"/>
  <c r="N530" i="1"/>
  <c r="M530" i="1"/>
  <c r="O529" i="1"/>
  <c r="N529" i="1"/>
  <c r="M529" i="1"/>
  <c r="O528" i="1"/>
  <c r="N528" i="1"/>
  <c r="M528" i="1"/>
  <c r="O527" i="1"/>
  <c r="N527" i="1"/>
  <c r="M527" i="1"/>
  <c r="O526" i="1"/>
  <c r="N526" i="1"/>
  <c r="M526" i="1"/>
  <c r="O525" i="1"/>
  <c r="N525" i="1"/>
  <c r="M525" i="1"/>
  <c r="O524" i="1"/>
  <c r="N524" i="1"/>
  <c r="M524" i="1"/>
  <c r="O523" i="1"/>
  <c r="N523" i="1"/>
  <c r="M523" i="1"/>
  <c r="O522" i="1"/>
  <c r="N522" i="1"/>
  <c r="M522" i="1"/>
  <c r="O521" i="1"/>
  <c r="N521" i="1"/>
  <c r="M521" i="1"/>
  <c r="O520" i="1"/>
  <c r="N520" i="1"/>
  <c r="M520" i="1"/>
  <c r="O519" i="1"/>
  <c r="N519" i="1"/>
  <c r="M519" i="1"/>
  <c r="O518" i="1"/>
  <c r="N518" i="1"/>
  <c r="M518" i="1"/>
  <c r="O517" i="1"/>
  <c r="N517" i="1"/>
  <c r="M517" i="1"/>
  <c r="O516" i="1"/>
  <c r="N516" i="1"/>
  <c r="M516" i="1"/>
  <c r="O515" i="1"/>
  <c r="N515" i="1"/>
  <c r="M515" i="1"/>
  <c r="O514" i="1"/>
  <c r="N514" i="1"/>
  <c r="M514" i="1"/>
  <c r="O513" i="1"/>
  <c r="N513" i="1"/>
  <c r="M513" i="1"/>
  <c r="O512" i="1"/>
  <c r="N512" i="1"/>
  <c r="M512" i="1"/>
  <c r="O511" i="1"/>
  <c r="N511" i="1"/>
  <c r="M511" i="1"/>
  <c r="O510" i="1"/>
  <c r="N510" i="1"/>
  <c r="M510" i="1"/>
  <c r="O509" i="1"/>
  <c r="N509" i="1"/>
  <c r="M509" i="1"/>
  <c r="O508" i="1"/>
  <c r="N508" i="1"/>
  <c r="M508" i="1"/>
  <c r="O507" i="1"/>
  <c r="N507" i="1"/>
  <c r="M507" i="1"/>
  <c r="O506" i="1"/>
  <c r="N506" i="1"/>
  <c r="M506" i="1"/>
  <c r="O505" i="1"/>
  <c r="N505" i="1"/>
  <c r="M505" i="1"/>
  <c r="O504" i="1"/>
  <c r="N504" i="1"/>
  <c r="M504" i="1"/>
  <c r="O503" i="1"/>
  <c r="N503" i="1"/>
  <c r="M503" i="1"/>
  <c r="O502" i="1"/>
  <c r="N502" i="1"/>
  <c r="M502" i="1"/>
  <c r="O501" i="1"/>
  <c r="N501" i="1"/>
  <c r="M501" i="1"/>
  <c r="O500" i="1"/>
  <c r="N500" i="1"/>
  <c r="M500" i="1"/>
  <c r="O499" i="1"/>
  <c r="N499" i="1"/>
  <c r="M499" i="1"/>
  <c r="O498" i="1"/>
  <c r="N498" i="1"/>
  <c r="M498" i="1"/>
  <c r="O497" i="1"/>
  <c r="N497" i="1"/>
  <c r="M497" i="1"/>
  <c r="O496" i="1"/>
  <c r="N496" i="1"/>
  <c r="M496" i="1"/>
  <c r="O495" i="1"/>
  <c r="N495" i="1"/>
  <c r="M495" i="1"/>
  <c r="O494" i="1"/>
  <c r="N494" i="1"/>
  <c r="M494" i="1"/>
  <c r="O493" i="1"/>
  <c r="N493" i="1"/>
  <c r="M493" i="1"/>
  <c r="O492" i="1"/>
  <c r="N492" i="1"/>
  <c r="M492" i="1"/>
  <c r="O491" i="1"/>
  <c r="N491" i="1"/>
  <c r="M491" i="1"/>
  <c r="O490" i="1"/>
  <c r="N490" i="1"/>
  <c r="M490" i="1"/>
  <c r="O489" i="1"/>
  <c r="N489" i="1"/>
  <c r="M489" i="1"/>
  <c r="O488" i="1"/>
  <c r="N488" i="1"/>
  <c r="M488" i="1"/>
  <c r="O487" i="1"/>
  <c r="N487" i="1"/>
  <c r="M487" i="1"/>
  <c r="O486" i="1"/>
  <c r="N486" i="1"/>
  <c r="M486" i="1"/>
  <c r="O485" i="1"/>
  <c r="N485" i="1"/>
  <c r="M485" i="1"/>
  <c r="O484" i="1"/>
  <c r="N484" i="1"/>
  <c r="M484" i="1"/>
  <c r="O483" i="1"/>
  <c r="N483" i="1"/>
  <c r="M483" i="1"/>
  <c r="O482" i="1"/>
  <c r="N482" i="1"/>
  <c r="M482" i="1"/>
  <c r="O481" i="1"/>
  <c r="N481" i="1"/>
  <c r="M481" i="1"/>
  <c r="O480" i="1"/>
  <c r="N480" i="1"/>
  <c r="M480" i="1"/>
  <c r="O479" i="1"/>
  <c r="N479" i="1"/>
  <c r="M479" i="1"/>
  <c r="O478" i="1"/>
  <c r="N478" i="1"/>
  <c r="M478" i="1"/>
  <c r="O477" i="1"/>
  <c r="N477" i="1"/>
  <c r="M477" i="1"/>
  <c r="O476" i="1"/>
  <c r="N476" i="1"/>
  <c r="M476" i="1"/>
  <c r="O475" i="1"/>
  <c r="N475" i="1"/>
  <c r="M475" i="1"/>
  <c r="O474" i="1"/>
  <c r="N474" i="1"/>
  <c r="M474" i="1"/>
  <c r="O473" i="1"/>
  <c r="N473" i="1"/>
  <c r="M473" i="1"/>
  <c r="O472" i="1"/>
  <c r="N472" i="1"/>
  <c r="M472" i="1"/>
  <c r="O471" i="1"/>
  <c r="N471" i="1"/>
  <c r="M471" i="1"/>
  <c r="O470" i="1"/>
  <c r="N470" i="1"/>
  <c r="M470" i="1"/>
  <c r="O469" i="1"/>
  <c r="N469" i="1"/>
  <c r="M469" i="1"/>
  <c r="O468" i="1"/>
  <c r="N468" i="1"/>
  <c r="M468" i="1"/>
  <c r="O467" i="1"/>
  <c r="N467" i="1"/>
  <c r="M467" i="1"/>
  <c r="O466" i="1"/>
  <c r="N466" i="1"/>
  <c r="M466" i="1"/>
  <c r="O465" i="1"/>
  <c r="N465" i="1"/>
  <c r="M465" i="1"/>
  <c r="O464" i="1"/>
  <c r="N464" i="1"/>
  <c r="M464" i="1"/>
  <c r="O463" i="1"/>
  <c r="N463" i="1"/>
  <c r="M463" i="1"/>
  <c r="O462" i="1"/>
  <c r="N462" i="1"/>
  <c r="M462" i="1"/>
  <c r="O461" i="1"/>
  <c r="N461" i="1"/>
  <c r="M461" i="1"/>
  <c r="O460" i="1"/>
  <c r="N460" i="1"/>
  <c r="M460" i="1"/>
  <c r="O459" i="1"/>
  <c r="N459" i="1"/>
  <c r="M459" i="1"/>
  <c r="O458" i="1"/>
  <c r="N458" i="1"/>
  <c r="M458" i="1"/>
  <c r="O457" i="1"/>
  <c r="N457" i="1"/>
  <c r="M457" i="1"/>
  <c r="O456" i="1"/>
  <c r="N456" i="1"/>
  <c r="M456" i="1"/>
  <c r="O455" i="1"/>
  <c r="N455" i="1"/>
  <c r="M455" i="1"/>
  <c r="O454" i="1"/>
  <c r="N454" i="1"/>
  <c r="M454" i="1"/>
  <c r="O453" i="1"/>
  <c r="N453" i="1"/>
  <c r="M453" i="1"/>
  <c r="O452" i="1"/>
  <c r="N452" i="1"/>
  <c r="M452" i="1"/>
  <c r="O451" i="1"/>
  <c r="N451" i="1"/>
  <c r="M451" i="1"/>
  <c r="O450" i="1"/>
  <c r="N450" i="1"/>
  <c r="M450" i="1"/>
  <c r="O449" i="1"/>
  <c r="N449" i="1"/>
  <c r="M449" i="1"/>
  <c r="O448" i="1"/>
  <c r="N448" i="1"/>
  <c r="M448" i="1"/>
  <c r="O447" i="1"/>
  <c r="N447" i="1"/>
  <c r="M447" i="1"/>
  <c r="O446" i="1"/>
  <c r="N446" i="1"/>
  <c r="M446" i="1"/>
  <c r="O445" i="1"/>
  <c r="N445" i="1"/>
  <c r="M445" i="1"/>
  <c r="O444" i="1"/>
  <c r="N444" i="1"/>
  <c r="M444" i="1"/>
  <c r="O443" i="1"/>
  <c r="N443" i="1"/>
  <c r="M443" i="1"/>
  <c r="O442" i="1"/>
  <c r="N442" i="1"/>
  <c r="M442" i="1"/>
  <c r="O441" i="1"/>
  <c r="N441" i="1"/>
  <c r="M441" i="1"/>
  <c r="O440" i="1"/>
  <c r="N440" i="1"/>
  <c r="M440" i="1"/>
  <c r="O439" i="1"/>
  <c r="N439" i="1"/>
  <c r="M439" i="1"/>
  <c r="O438" i="1"/>
  <c r="N438" i="1"/>
  <c r="M438" i="1"/>
  <c r="O437" i="1"/>
  <c r="N437" i="1"/>
  <c r="M437" i="1"/>
  <c r="O436" i="1"/>
  <c r="N436" i="1"/>
  <c r="M436" i="1"/>
  <c r="O435" i="1"/>
  <c r="N435" i="1"/>
  <c r="M435" i="1"/>
  <c r="O434" i="1"/>
  <c r="N434" i="1"/>
  <c r="M434" i="1"/>
  <c r="O433" i="1"/>
  <c r="N433" i="1"/>
  <c r="M433" i="1"/>
  <c r="O432" i="1"/>
  <c r="N432" i="1"/>
  <c r="M432" i="1"/>
  <c r="O431" i="1"/>
  <c r="N431" i="1"/>
  <c r="M431" i="1"/>
  <c r="O430" i="1"/>
  <c r="N430" i="1"/>
  <c r="M430" i="1"/>
  <c r="O429" i="1"/>
  <c r="N429" i="1"/>
  <c r="M429" i="1"/>
  <c r="O428" i="1"/>
  <c r="N428" i="1"/>
  <c r="M428" i="1"/>
  <c r="O427" i="1"/>
  <c r="N427" i="1"/>
  <c r="M427" i="1"/>
  <c r="O426" i="1"/>
  <c r="N426" i="1"/>
  <c r="M426" i="1"/>
  <c r="O425" i="1"/>
  <c r="N425" i="1"/>
  <c r="M425" i="1"/>
  <c r="O424" i="1"/>
  <c r="N424" i="1"/>
  <c r="M424" i="1"/>
  <c r="O423" i="1"/>
  <c r="N423" i="1"/>
  <c r="M423" i="1"/>
  <c r="O422" i="1"/>
  <c r="N422" i="1"/>
  <c r="M422" i="1"/>
  <c r="O421" i="1"/>
  <c r="N421" i="1"/>
  <c r="M421" i="1"/>
  <c r="O420" i="1"/>
  <c r="N420" i="1"/>
  <c r="M420" i="1"/>
  <c r="O419" i="1"/>
  <c r="N419" i="1"/>
  <c r="M419" i="1"/>
  <c r="O418" i="1"/>
  <c r="N418" i="1"/>
  <c r="M418" i="1"/>
  <c r="O417" i="1"/>
  <c r="N417" i="1"/>
  <c r="M417" i="1"/>
  <c r="O416" i="1"/>
  <c r="N416" i="1"/>
  <c r="M416" i="1"/>
  <c r="O415" i="1"/>
  <c r="N415" i="1"/>
  <c r="M415" i="1"/>
  <c r="O414" i="1"/>
  <c r="N414" i="1"/>
  <c r="M414" i="1"/>
  <c r="O413" i="1"/>
  <c r="N413" i="1"/>
  <c r="M413" i="1"/>
  <c r="O412" i="1"/>
  <c r="N412" i="1"/>
  <c r="M412" i="1"/>
  <c r="O411" i="1"/>
  <c r="N411" i="1"/>
  <c r="M411" i="1"/>
  <c r="O410" i="1"/>
  <c r="N410" i="1"/>
  <c r="M410" i="1"/>
  <c r="O409" i="1"/>
  <c r="N409" i="1"/>
  <c r="M409" i="1"/>
  <c r="O408" i="1"/>
  <c r="N408" i="1"/>
  <c r="M408" i="1"/>
  <c r="O407" i="1"/>
  <c r="N407" i="1"/>
  <c r="M407" i="1"/>
  <c r="O406" i="1"/>
  <c r="N406" i="1"/>
  <c r="M406" i="1"/>
  <c r="O405" i="1"/>
  <c r="N405" i="1"/>
  <c r="M405" i="1"/>
  <c r="O404" i="1"/>
  <c r="N404" i="1"/>
  <c r="M404" i="1"/>
  <c r="O403" i="1"/>
  <c r="N403" i="1"/>
  <c r="M403" i="1"/>
  <c r="O402" i="1"/>
  <c r="N402" i="1"/>
  <c r="M402" i="1"/>
  <c r="O401" i="1"/>
  <c r="N401" i="1"/>
  <c r="M401" i="1"/>
  <c r="O400" i="1"/>
  <c r="N400" i="1"/>
  <c r="M400" i="1"/>
  <c r="O399" i="1"/>
  <c r="N399" i="1"/>
  <c r="M399" i="1"/>
  <c r="O398" i="1"/>
  <c r="N398" i="1"/>
  <c r="M398" i="1"/>
  <c r="O397" i="1"/>
  <c r="N397" i="1"/>
  <c r="M397" i="1"/>
  <c r="O396" i="1"/>
  <c r="N396" i="1"/>
  <c r="M396" i="1"/>
  <c r="O395" i="1"/>
  <c r="N395" i="1"/>
  <c r="M395" i="1"/>
  <c r="O394" i="1"/>
  <c r="N394" i="1"/>
  <c r="M394" i="1"/>
  <c r="O393" i="1"/>
  <c r="N393" i="1"/>
  <c r="M393" i="1"/>
  <c r="O392" i="1"/>
  <c r="N392" i="1"/>
  <c r="M392" i="1"/>
  <c r="O391" i="1"/>
  <c r="N391" i="1"/>
  <c r="M391" i="1"/>
  <c r="O390" i="1"/>
  <c r="N390" i="1"/>
  <c r="M390" i="1"/>
  <c r="O389" i="1"/>
  <c r="N389" i="1"/>
  <c r="M389" i="1"/>
  <c r="O388" i="1"/>
  <c r="N388" i="1"/>
  <c r="M388" i="1"/>
  <c r="O387" i="1"/>
  <c r="N387" i="1"/>
  <c r="M387" i="1"/>
  <c r="O386" i="1"/>
  <c r="N386" i="1"/>
  <c r="M386" i="1"/>
  <c r="O385" i="1"/>
  <c r="N385" i="1"/>
  <c r="M385" i="1"/>
  <c r="O384" i="1"/>
  <c r="N384" i="1"/>
  <c r="M384" i="1"/>
  <c r="O383" i="1"/>
  <c r="N383" i="1"/>
  <c r="M383" i="1"/>
  <c r="O382" i="1"/>
  <c r="N382" i="1"/>
  <c r="M382" i="1"/>
  <c r="O381" i="1"/>
  <c r="N381" i="1"/>
  <c r="M381" i="1"/>
  <c r="O380" i="1"/>
  <c r="N380" i="1"/>
  <c r="M380" i="1"/>
  <c r="O379" i="1"/>
  <c r="N379" i="1"/>
  <c r="M379" i="1"/>
  <c r="O378" i="1"/>
  <c r="N378" i="1"/>
  <c r="M378" i="1"/>
  <c r="O377" i="1"/>
  <c r="N377" i="1"/>
  <c r="M377" i="1"/>
  <c r="O376" i="1"/>
  <c r="N376" i="1"/>
  <c r="M376" i="1"/>
  <c r="O375" i="1"/>
  <c r="N375" i="1"/>
  <c r="M375" i="1"/>
  <c r="O374" i="1"/>
  <c r="N374" i="1"/>
  <c r="M374" i="1"/>
  <c r="O373" i="1"/>
  <c r="N373" i="1"/>
  <c r="M373" i="1"/>
  <c r="O372" i="1"/>
  <c r="N372" i="1"/>
  <c r="M372" i="1"/>
  <c r="O371" i="1"/>
  <c r="N371" i="1"/>
  <c r="M371" i="1"/>
  <c r="O370" i="1"/>
  <c r="N370" i="1"/>
  <c r="M370" i="1"/>
  <c r="O369" i="1"/>
  <c r="N369" i="1"/>
  <c r="M369" i="1"/>
  <c r="O368" i="1"/>
  <c r="N368" i="1"/>
  <c r="M368" i="1"/>
  <c r="O367" i="1"/>
  <c r="N367" i="1"/>
  <c r="M367" i="1"/>
  <c r="O366" i="1"/>
  <c r="N366" i="1"/>
  <c r="M366" i="1"/>
  <c r="O365" i="1"/>
  <c r="N365" i="1"/>
  <c r="M365" i="1"/>
  <c r="O364" i="1"/>
  <c r="N364" i="1"/>
  <c r="M364" i="1"/>
  <c r="O363" i="1"/>
  <c r="N363" i="1"/>
  <c r="M363" i="1"/>
  <c r="O362" i="1"/>
  <c r="N362" i="1"/>
  <c r="M362" i="1"/>
  <c r="O361" i="1"/>
  <c r="N361" i="1"/>
  <c r="M361" i="1"/>
  <c r="O360" i="1"/>
  <c r="N360" i="1"/>
  <c r="M360" i="1"/>
  <c r="O359" i="1"/>
  <c r="N359" i="1"/>
  <c r="M359" i="1"/>
  <c r="O358" i="1"/>
  <c r="N358" i="1"/>
  <c r="M358" i="1"/>
  <c r="O357" i="1"/>
  <c r="N357" i="1"/>
  <c r="M357" i="1"/>
  <c r="O356" i="1"/>
  <c r="N356" i="1"/>
  <c r="M356" i="1"/>
  <c r="O355" i="1"/>
  <c r="N355" i="1"/>
  <c r="M355" i="1"/>
  <c r="O354" i="1"/>
  <c r="N354" i="1"/>
  <c r="M354" i="1"/>
  <c r="O353" i="1"/>
  <c r="N353" i="1"/>
  <c r="M353" i="1"/>
  <c r="O352" i="1"/>
  <c r="N352" i="1"/>
  <c r="M352" i="1"/>
  <c r="O351" i="1"/>
  <c r="N351" i="1"/>
  <c r="M351" i="1"/>
  <c r="O350" i="1"/>
  <c r="N350" i="1"/>
  <c r="M350" i="1"/>
  <c r="O349" i="1"/>
  <c r="N349" i="1"/>
  <c r="M349" i="1"/>
  <c r="O348" i="1"/>
  <c r="N348" i="1"/>
  <c r="M348" i="1"/>
  <c r="O347" i="1"/>
  <c r="N347" i="1"/>
  <c r="M347" i="1"/>
  <c r="O346" i="1"/>
  <c r="N346" i="1"/>
  <c r="M346" i="1"/>
  <c r="O345" i="1"/>
  <c r="N345" i="1"/>
  <c r="M345" i="1"/>
  <c r="O344" i="1"/>
  <c r="N344" i="1"/>
  <c r="M344" i="1"/>
  <c r="O343" i="1"/>
  <c r="N343" i="1"/>
  <c r="M343" i="1"/>
  <c r="O342" i="1"/>
  <c r="N342" i="1"/>
  <c r="M342" i="1"/>
  <c r="O341" i="1"/>
  <c r="N341" i="1"/>
  <c r="M341" i="1"/>
  <c r="O340" i="1"/>
  <c r="N340" i="1"/>
  <c r="M340" i="1"/>
  <c r="O339" i="1"/>
  <c r="N339" i="1"/>
  <c r="M339" i="1"/>
  <c r="O338" i="1"/>
  <c r="N338" i="1"/>
  <c r="M338" i="1"/>
  <c r="O337" i="1"/>
  <c r="N337" i="1"/>
  <c r="M337" i="1"/>
  <c r="O336" i="1"/>
  <c r="N336" i="1"/>
  <c r="M336" i="1"/>
  <c r="O335" i="1"/>
  <c r="N335" i="1"/>
  <c r="M335" i="1"/>
  <c r="O334" i="1"/>
  <c r="N334" i="1"/>
  <c r="M334" i="1"/>
  <c r="O333" i="1"/>
  <c r="N333" i="1"/>
  <c r="M333" i="1"/>
  <c r="O332" i="1"/>
  <c r="N332" i="1"/>
  <c r="M332" i="1"/>
  <c r="O331" i="1"/>
  <c r="N331" i="1"/>
  <c r="M331" i="1"/>
  <c r="O330" i="1"/>
  <c r="N330" i="1"/>
  <c r="M330" i="1"/>
  <c r="O329" i="1"/>
  <c r="N329" i="1"/>
  <c r="M329" i="1"/>
  <c r="O328" i="1"/>
  <c r="N328" i="1"/>
  <c r="M328" i="1"/>
  <c r="O327" i="1"/>
  <c r="N327" i="1"/>
  <c r="M327" i="1"/>
  <c r="O326" i="1"/>
  <c r="N326" i="1"/>
  <c r="M326" i="1"/>
  <c r="O325" i="1"/>
  <c r="N325" i="1"/>
  <c r="M325" i="1"/>
  <c r="O324" i="1"/>
  <c r="N324" i="1"/>
  <c r="M324" i="1"/>
  <c r="O323" i="1"/>
  <c r="N323" i="1"/>
  <c r="M323" i="1"/>
  <c r="O322" i="1"/>
  <c r="N322" i="1"/>
  <c r="M322" i="1"/>
  <c r="O321" i="1"/>
  <c r="N321" i="1"/>
  <c r="M321" i="1"/>
  <c r="O320" i="1"/>
  <c r="N320" i="1"/>
  <c r="M320" i="1"/>
  <c r="O319" i="1"/>
  <c r="N319" i="1"/>
  <c r="M319" i="1"/>
  <c r="O318" i="1"/>
  <c r="N318" i="1"/>
  <c r="M318" i="1"/>
  <c r="O317" i="1"/>
  <c r="N317" i="1"/>
  <c r="M317" i="1"/>
  <c r="O316" i="1"/>
  <c r="N316" i="1"/>
  <c r="M316" i="1"/>
  <c r="O315" i="1"/>
  <c r="N315" i="1"/>
  <c r="M315" i="1"/>
  <c r="O314" i="1"/>
  <c r="N314" i="1"/>
  <c r="M314" i="1"/>
  <c r="O313" i="1"/>
  <c r="N313" i="1"/>
  <c r="M313" i="1"/>
  <c r="O312" i="1"/>
  <c r="N312" i="1"/>
  <c r="M312" i="1"/>
  <c r="O311" i="1"/>
  <c r="N311" i="1"/>
  <c r="M311" i="1"/>
  <c r="O310" i="1"/>
  <c r="N310" i="1"/>
  <c r="M310" i="1"/>
  <c r="O309" i="1"/>
  <c r="N309" i="1"/>
  <c r="M309" i="1"/>
  <c r="O308" i="1"/>
  <c r="N308" i="1"/>
  <c r="M308" i="1"/>
  <c r="O307" i="1"/>
  <c r="N307" i="1"/>
  <c r="M307" i="1"/>
  <c r="O306" i="1"/>
  <c r="N306" i="1"/>
  <c r="M306" i="1"/>
  <c r="O305" i="1"/>
  <c r="N305" i="1"/>
  <c r="M305" i="1"/>
  <c r="O304" i="1"/>
  <c r="N304" i="1"/>
  <c r="M304" i="1"/>
  <c r="O303" i="1"/>
  <c r="N303" i="1"/>
  <c r="M303" i="1"/>
  <c r="O302" i="1"/>
  <c r="N302" i="1"/>
  <c r="M302"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N279" i="1"/>
  <c r="M279" i="1"/>
  <c r="O278" i="1"/>
  <c r="N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M234" i="1"/>
  <c r="O233" i="1"/>
  <c r="N233" i="1"/>
  <c r="M233" i="1"/>
  <c r="O232" i="1"/>
  <c r="N232" i="1"/>
  <c r="M232" i="1"/>
  <c r="O231" i="1"/>
  <c r="N231" i="1"/>
  <c r="M231" i="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O213" i="1"/>
  <c r="N213" i="1"/>
  <c r="M213" i="1"/>
  <c r="O212" i="1"/>
  <c r="N212" i="1"/>
  <c r="M212" i="1"/>
  <c r="O211" i="1"/>
  <c r="N211" i="1"/>
  <c r="M211" i="1"/>
  <c r="O210" i="1"/>
  <c r="N210" i="1"/>
  <c r="M210" i="1"/>
  <c r="O209" i="1"/>
  <c r="N209" i="1"/>
  <c r="M209" i="1"/>
  <c r="O208" i="1"/>
  <c r="N208" i="1"/>
  <c r="M208" i="1"/>
  <c r="O207" i="1"/>
  <c r="N207" i="1"/>
  <c r="M207" i="1"/>
  <c r="O206" i="1"/>
  <c r="N206" i="1"/>
  <c r="M206" i="1"/>
  <c r="O205" i="1"/>
  <c r="N205" i="1"/>
  <c r="M205" i="1"/>
  <c r="O204" i="1"/>
  <c r="N204" i="1"/>
  <c r="M204" i="1"/>
  <c r="O203" i="1"/>
  <c r="N203" i="1"/>
  <c r="M203" i="1"/>
  <c r="O202" i="1"/>
  <c r="N202" i="1"/>
  <c r="M202" i="1"/>
  <c r="O201" i="1"/>
  <c r="N201" i="1"/>
  <c r="M201" i="1"/>
  <c r="O200" i="1"/>
  <c r="N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89" i="1"/>
  <c r="N189" i="1"/>
  <c r="M189" i="1"/>
  <c r="O188" i="1"/>
  <c r="N188" i="1"/>
  <c r="M188" i="1"/>
  <c r="O187" i="1"/>
  <c r="N187" i="1"/>
  <c r="M187" i="1"/>
  <c r="O186" i="1"/>
  <c r="N186" i="1"/>
  <c r="M186" i="1"/>
  <c r="O185" i="1"/>
  <c r="N185" i="1"/>
  <c r="M185" i="1"/>
  <c r="O184" i="1"/>
  <c r="N184" i="1"/>
  <c r="M184" i="1"/>
  <c r="O183" i="1"/>
  <c r="N183" i="1"/>
  <c r="M183" i="1"/>
  <c r="O182" i="1"/>
  <c r="N182" i="1"/>
  <c r="M182" i="1"/>
  <c r="O181" i="1"/>
  <c r="N181" i="1"/>
  <c r="M181" i="1"/>
  <c r="O180" i="1"/>
  <c r="N180" i="1"/>
  <c r="M180" i="1"/>
  <c r="O179" i="1"/>
  <c r="N179" i="1"/>
  <c r="M179" i="1"/>
  <c r="O178" i="1"/>
  <c r="N178" i="1"/>
  <c r="M178" i="1"/>
  <c r="O177" i="1"/>
  <c r="N177" i="1"/>
  <c r="M177" i="1"/>
  <c r="O176" i="1"/>
  <c r="N176" i="1"/>
  <c r="M176" i="1"/>
  <c r="O175" i="1"/>
  <c r="N175" i="1"/>
  <c r="M175" i="1"/>
  <c r="O174" i="1"/>
  <c r="N174" i="1"/>
  <c r="M174" i="1"/>
  <c r="O173" i="1"/>
  <c r="N173" i="1"/>
  <c r="M173" i="1"/>
  <c r="O172" i="1"/>
  <c r="N172" i="1"/>
  <c r="M172" i="1"/>
  <c r="O171" i="1"/>
  <c r="N171" i="1"/>
  <c r="M171" i="1"/>
  <c r="O170" i="1"/>
  <c r="N170" i="1"/>
  <c r="M170" i="1"/>
  <c r="O169" i="1"/>
  <c r="N169" i="1"/>
  <c r="M169" i="1"/>
  <c r="O168" i="1"/>
  <c r="N168" i="1"/>
  <c r="M168" i="1"/>
  <c r="O167" i="1"/>
  <c r="N167" i="1"/>
  <c r="M167" i="1"/>
  <c r="O166" i="1"/>
  <c r="N166" i="1"/>
  <c r="M166" i="1"/>
  <c r="O165" i="1"/>
  <c r="N165" i="1"/>
  <c r="M165" i="1"/>
  <c r="O164" i="1"/>
  <c r="N164" i="1"/>
  <c r="M164" i="1"/>
  <c r="O163" i="1"/>
  <c r="N163" i="1"/>
  <c r="M163" i="1"/>
  <c r="O162" i="1"/>
  <c r="N162" i="1"/>
  <c r="M162" i="1"/>
  <c r="O161" i="1"/>
  <c r="N161" i="1"/>
  <c r="M161" i="1"/>
  <c r="O160" i="1"/>
  <c r="N160" i="1"/>
  <c r="M160" i="1"/>
  <c r="O159" i="1"/>
  <c r="N159" i="1"/>
  <c r="M159" i="1"/>
  <c r="O158" i="1"/>
  <c r="N158" i="1"/>
  <c r="M158" i="1"/>
  <c r="O157" i="1"/>
  <c r="N157" i="1"/>
  <c r="M157" i="1"/>
  <c r="O156" i="1"/>
  <c r="N156" i="1"/>
  <c r="M156" i="1"/>
  <c r="O155" i="1"/>
  <c r="N155" i="1"/>
  <c r="M155" i="1"/>
  <c r="O154" i="1"/>
  <c r="N154" i="1"/>
  <c r="M154" i="1"/>
  <c r="O153" i="1"/>
  <c r="N153" i="1"/>
  <c r="M153" i="1"/>
  <c r="O152" i="1"/>
  <c r="N152" i="1"/>
  <c r="M152" i="1"/>
  <c r="O151" i="1"/>
  <c r="N151" i="1"/>
  <c r="M151" i="1"/>
  <c r="O150" i="1"/>
  <c r="N150" i="1"/>
  <c r="M150" i="1"/>
  <c r="O149" i="1"/>
  <c r="N149" i="1"/>
  <c r="M149" i="1"/>
  <c r="O148" i="1"/>
  <c r="N148" i="1"/>
  <c r="M148" i="1"/>
  <c r="O147" i="1"/>
  <c r="N147" i="1"/>
  <c r="M147" i="1"/>
  <c r="O146" i="1"/>
  <c r="N146" i="1"/>
  <c r="M146" i="1"/>
  <c r="O145" i="1"/>
  <c r="N145" i="1"/>
  <c r="M145" i="1"/>
  <c r="O144" i="1"/>
  <c r="N144" i="1"/>
  <c r="M144" i="1"/>
  <c r="O143" i="1"/>
  <c r="N143" i="1"/>
  <c r="M143" i="1"/>
  <c r="O142" i="1"/>
  <c r="N142" i="1"/>
  <c r="M142" i="1"/>
  <c r="O141" i="1"/>
  <c r="N141" i="1"/>
  <c r="M141" i="1"/>
  <c r="O140" i="1"/>
  <c r="N140" i="1"/>
  <c r="M140" i="1"/>
  <c r="O139" i="1"/>
  <c r="N139" i="1"/>
  <c r="M139" i="1"/>
  <c r="O138" i="1"/>
  <c r="N138" i="1"/>
  <c r="M138" i="1"/>
  <c r="O137" i="1"/>
  <c r="N137" i="1"/>
  <c r="M137" i="1"/>
  <c r="O136" i="1"/>
  <c r="N136" i="1"/>
  <c r="M136" i="1"/>
  <c r="O135" i="1"/>
  <c r="N135" i="1"/>
  <c r="M135" i="1"/>
  <c r="O134" i="1"/>
  <c r="N134" i="1"/>
  <c r="M134" i="1"/>
  <c r="O133" i="1"/>
  <c r="N133" i="1"/>
  <c r="M133" i="1"/>
  <c r="O132" i="1"/>
  <c r="N132" i="1"/>
  <c r="M132" i="1"/>
  <c r="O131" i="1"/>
  <c r="N131" i="1"/>
  <c r="M131" i="1"/>
  <c r="O130" i="1"/>
  <c r="N130" i="1"/>
  <c r="M130" i="1"/>
  <c r="O129" i="1"/>
  <c r="N129" i="1"/>
  <c r="M129" i="1"/>
  <c r="O128" i="1"/>
  <c r="N128" i="1"/>
  <c r="M128" i="1"/>
  <c r="O127" i="1"/>
  <c r="N127" i="1"/>
  <c r="M127" i="1"/>
  <c r="O126" i="1"/>
  <c r="N126" i="1"/>
  <c r="M126" i="1"/>
  <c r="O125" i="1"/>
  <c r="N125" i="1"/>
  <c r="M125" i="1"/>
  <c r="O124" i="1"/>
  <c r="N124" i="1"/>
  <c r="M124" i="1"/>
  <c r="O123" i="1"/>
  <c r="N123" i="1"/>
  <c r="M123" i="1"/>
  <c r="O122" i="1"/>
  <c r="N122" i="1"/>
  <c r="M122" i="1"/>
  <c r="O121" i="1"/>
  <c r="N121" i="1"/>
  <c r="M121" i="1"/>
  <c r="O120" i="1"/>
  <c r="N120" i="1"/>
  <c r="M120" i="1"/>
  <c r="O119" i="1"/>
  <c r="N119" i="1"/>
  <c r="M119" i="1"/>
  <c r="O118" i="1"/>
  <c r="N118" i="1"/>
  <c r="M118" i="1"/>
  <c r="O117" i="1"/>
  <c r="N117" i="1"/>
  <c r="M117" i="1"/>
  <c r="O116" i="1"/>
  <c r="N116" i="1"/>
  <c r="M116" i="1"/>
  <c r="O115" i="1"/>
  <c r="N115" i="1"/>
  <c r="M115" i="1"/>
  <c r="O114" i="1"/>
  <c r="N114" i="1"/>
  <c r="M114" i="1"/>
  <c r="O113" i="1"/>
  <c r="N113" i="1"/>
  <c r="M113" i="1"/>
  <c r="O112" i="1"/>
  <c r="N112" i="1"/>
  <c r="M112" i="1"/>
  <c r="O111" i="1"/>
  <c r="N111" i="1"/>
  <c r="M111" i="1"/>
  <c r="O110" i="1"/>
  <c r="N110" i="1"/>
  <c r="M110" i="1"/>
  <c r="O109" i="1"/>
  <c r="N109" i="1"/>
  <c r="M109" i="1"/>
  <c r="O108" i="1"/>
  <c r="N108" i="1"/>
  <c r="M108" i="1"/>
  <c r="O107" i="1"/>
  <c r="N107" i="1"/>
  <c r="M107" i="1"/>
  <c r="O106" i="1"/>
  <c r="N106" i="1"/>
  <c r="M106" i="1"/>
  <c r="O105" i="1"/>
  <c r="N105" i="1"/>
  <c r="M105" i="1"/>
  <c r="O104" i="1"/>
  <c r="N104" i="1"/>
  <c r="M104" i="1"/>
  <c r="O103" i="1"/>
  <c r="N103" i="1"/>
  <c r="M103" i="1"/>
  <c r="O102" i="1"/>
  <c r="N102" i="1"/>
  <c r="M102" i="1"/>
  <c r="O101" i="1"/>
  <c r="N101" i="1"/>
  <c r="M101" i="1"/>
  <c r="O100" i="1"/>
  <c r="N100" i="1"/>
  <c r="M100" i="1"/>
  <c r="O99" i="1"/>
  <c r="N99" i="1"/>
  <c r="M99" i="1"/>
  <c r="O98" i="1"/>
  <c r="N98" i="1"/>
  <c r="M98" i="1"/>
  <c r="O97" i="1"/>
  <c r="N97" i="1"/>
  <c r="M97" i="1"/>
  <c r="O96" i="1"/>
  <c r="N96" i="1"/>
  <c r="M96" i="1"/>
  <c r="O95" i="1"/>
  <c r="N95" i="1"/>
  <c r="M95" i="1"/>
  <c r="O94" i="1"/>
  <c r="N94" i="1"/>
  <c r="M94" i="1"/>
  <c r="O93" i="1"/>
  <c r="N93" i="1"/>
  <c r="M93" i="1"/>
  <c r="O92" i="1"/>
  <c r="N92" i="1"/>
  <c r="M92" i="1"/>
  <c r="O91" i="1"/>
  <c r="N91" i="1"/>
  <c r="M91" i="1"/>
  <c r="O90" i="1"/>
  <c r="N90" i="1"/>
  <c r="M90" i="1"/>
  <c r="O89" i="1"/>
  <c r="N89" i="1"/>
  <c r="M89" i="1"/>
  <c r="O88" i="1"/>
  <c r="N88" i="1"/>
  <c r="M88" i="1"/>
  <c r="O87" i="1"/>
  <c r="N87" i="1"/>
  <c r="M87" i="1"/>
  <c r="O86" i="1"/>
  <c r="N86" i="1"/>
  <c r="M86" i="1"/>
  <c r="O85" i="1"/>
  <c r="N85" i="1"/>
  <c r="M85" i="1"/>
  <c r="O84" i="1"/>
  <c r="N84" i="1"/>
  <c r="M84" i="1"/>
  <c r="O83" i="1"/>
  <c r="N83" i="1"/>
  <c r="M83" i="1"/>
  <c r="O82" i="1"/>
  <c r="N82" i="1"/>
  <c r="M82" i="1"/>
  <c r="O81" i="1"/>
  <c r="N81" i="1"/>
  <c r="M81" i="1"/>
  <c r="O80" i="1"/>
  <c r="N80" i="1"/>
  <c r="M80" i="1"/>
  <c r="O79" i="1"/>
  <c r="N79" i="1"/>
  <c r="M79" i="1"/>
  <c r="O78" i="1"/>
  <c r="N78" i="1"/>
  <c r="M78" i="1"/>
  <c r="O77" i="1"/>
  <c r="N77" i="1"/>
  <c r="M77" i="1"/>
  <c r="O76" i="1"/>
  <c r="N76" i="1"/>
  <c r="M76" i="1"/>
  <c r="O75" i="1"/>
  <c r="N75" i="1"/>
  <c r="M75" i="1"/>
  <c r="O74" i="1"/>
  <c r="N74" i="1"/>
  <c r="M74" i="1"/>
  <c r="O73" i="1"/>
  <c r="N73" i="1"/>
  <c r="M73" i="1"/>
  <c r="O72" i="1"/>
  <c r="N72" i="1"/>
  <c r="M72" i="1"/>
  <c r="O71" i="1"/>
  <c r="N71" i="1"/>
  <c r="M71" i="1"/>
  <c r="O70" i="1"/>
  <c r="N70" i="1"/>
  <c r="M70" i="1"/>
  <c r="O69" i="1"/>
  <c r="N69" i="1"/>
  <c r="M69" i="1"/>
  <c r="O68" i="1"/>
  <c r="N68" i="1"/>
  <c r="M68" i="1"/>
  <c r="O67" i="1"/>
  <c r="N67" i="1"/>
  <c r="M67" i="1"/>
  <c r="O66" i="1"/>
  <c r="N66" i="1"/>
  <c r="M66" i="1"/>
  <c r="O65" i="1"/>
  <c r="N65" i="1"/>
  <c r="M65" i="1"/>
  <c r="O64" i="1"/>
  <c r="N64" i="1"/>
  <c r="M64" i="1"/>
  <c r="O63" i="1"/>
  <c r="N63" i="1"/>
  <c r="M63" i="1"/>
  <c r="O62" i="1"/>
  <c r="N62" i="1"/>
  <c r="M62" i="1"/>
  <c r="O61" i="1"/>
  <c r="N61" i="1"/>
  <c r="M61" i="1"/>
  <c r="O60" i="1"/>
  <c r="N60" i="1"/>
  <c r="M60" i="1"/>
  <c r="O59" i="1"/>
  <c r="N59" i="1"/>
  <c r="M59" i="1"/>
  <c r="O58" i="1"/>
  <c r="N58" i="1"/>
  <c r="M58" i="1"/>
  <c r="O57" i="1"/>
  <c r="N57" i="1"/>
  <c r="M57" i="1"/>
  <c r="O56" i="1"/>
  <c r="N56" i="1"/>
  <c r="M56" i="1"/>
  <c r="O55" i="1"/>
  <c r="N55" i="1"/>
  <c r="M55" i="1"/>
  <c r="O54" i="1"/>
  <c r="N54" i="1"/>
  <c r="M54" i="1"/>
  <c r="O53" i="1"/>
  <c r="N53" i="1"/>
  <c r="M53" i="1"/>
  <c r="O52" i="1"/>
  <c r="N52" i="1"/>
  <c r="M52" i="1"/>
  <c r="O51" i="1"/>
  <c r="N51" i="1"/>
  <c r="M51" i="1"/>
  <c r="O50" i="1"/>
  <c r="N50" i="1"/>
  <c r="M50" i="1"/>
  <c r="O49" i="1"/>
  <c r="N49" i="1"/>
  <c r="M49" i="1"/>
  <c r="O48" i="1"/>
  <c r="N48" i="1"/>
  <c r="M48" i="1"/>
  <c r="O47" i="1"/>
  <c r="N47" i="1"/>
  <c r="M47" i="1"/>
  <c r="O46" i="1"/>
  <c r="N46" i="1"/>
  <c r="M46" i="1"/>
  <c r="O45" i="1"/>
  <c r="N45" i="1"/>
  <c r="M45" i="1"/>
  <c r="O44" i="1"/>
  <c r="N44" i="1"/>
  <c r="M44" i="1"/>
  <c r="O43" i="1"/>
  <c r="N43" i="1"/>
  <c r="M43" i="1"/>
  <c r="O42" i="1"/>
  <c r="N42" i="1"/>
  <c r="M42" i="1"/>
  <c r="O41" i="1"/>
  <c r="N41" i="1"/>
  <c r="M41" i="1"/>
  <c r="O40" i="1"/>
  <c r="N40" i="1"/>
  <c r="M40" i="1"/>
  <c r="O39" i="1"/>
  <c r="N39" i="1"/>
  <c r="M39" i="1"/>
  <c r="O38" i="1"/>
  <c r="N38" i="1"/>
  <c r="M38" i="1"/>
  <c r="O37" i="1"/>
  <c r="N37" i="1"/>
  <c r="M37" i="1"/>
  <c r="O36" i="1"/>
  <c r="N36" i="1"/>
  <c r="M36" i="1"/>
  <c r="O35" i="1"/>
  <c r="N35" i="1"/>
  <c r="M35" i="1"/>
  <c r="O34" i="1"/>
  <c r="N34" i="1"/>
  <c r="M34" i="1"/>
  <c r="O33" i="1"/>
  <c r="N33" i="1"/>
  <c r="M33" i="1"/>
  <c r="O32" i="1"/>
  <c r="N32" i="1"/>
  <c r="M32" i="1"/>
  <c r="O31" i="1"/>
  <c r="N31" i="1"/>
  <c r="M31" i="1"/>
  <c r="O30" i="1"/>
  <c r="N30" i="1"/>
  <c r="M30" i="1"/>
  <c r="O29" i="1"/>
  <c r="N29" i="1"/>
  <c r="M29" i="1"/>
  <c r="O28" i="1"/>
  <c r="N28" i="1"/>
  <c r="M28" i="1"/>
  <c r="O27" i="1"/>
  <c r="N27" i="1"/>
  <c r="M27" i="1"/>
  <c r="O26" i="1"/>
  <c r="N26" i="1"/>
  <c r="M26" i="1"/>
  <c r="O25" i="1"/>
  <c r="N25" i="1"/>
  <c r="M25" i="1"/>
  <c r="O24" i="1"/>
  <c r="N24" i="1"/>
  <c r="M24" i="1"/>
  <c r="O23" i="1"/>
  <c r="N23" i="1"/>
  <c r="M23" i="1"/>
  <c r="O22" i="1"/>
  <c r="N22" i="1"/>
  <c r="M22" i="1"/>
  <c r="O21" i="1"/>
  <c r="N21" i="1"/>
  <c r="M21" i="1"/>
  <c r="O20" i="1"/>
  <c r="N20" i="1"/>
  <c r="M20" i="1"/>
  <c r="O19" i="1"/>
  <c r="N19" i="1"/>
  <c r="M19" i="1"/>
  <c r="O18" i="1"/>
  <c r="N18" i="1"/>
  <c r="M18" i="1"/>
  <c r="O17" i="1"/>
  <c r="N17" i="1"/>
  <c r="M17" i="1"/>
  <c r="O16" i="1"/>
  <c r="N16" i="1"/>
  <c r="M16" i="1"/>
  <c r="O15" i="1"/>
  <c r="N15" i="1"/>
  <c r="M15" i="1"/>
  <c r="O14" i="1"/>
  <c r="N14" i="1"/>
  <c r="M14" i="1"/>
  <c r="O13" i="1"/>
  <c r="N13" i="1"/>
  <c r="M13" i="1"/>
  <c r="O12" i="1"/>
  <c r="N12" i="1"/>
  <c r="M12" i="1"/>
  <c r="O11" i="1"/>
  <c r="N11" i="1"/>
  <c r="M11" i="1"/>
  <c r="O10" i="1"/>
  <c r="N10" i="1"/>
  <c r="M10" i="1"/>
  <c r="O9" i="1"/>
  <c r="N9" i="1"/>
  <c r="M9" i="1"/>
  <c r="O8" i="1"/>
  <c r="N8" i="1"/>
  <c r="M8" i="1"/>
  <c r="O7" i="1"/>
  <c r="N7" i="1"/>
  <c r="M7" i="1"/>
  <c r="O6" i="1"/>
  <c r="N6" i="1"/>
  <c r="M6" i="1"/>
  <c r="O5" i="1"/>
  <c r="N5" i="1"/>
  <c r="M5" i="1"/>
  <c r="O4" i="1"/>
  <c r="N4" i="1"/>
  <c r="M4" i="1"/>
  <c r="O3" i="1"/>
  <c r="N3" i="1"/>
  <c r="M3" i="1"/>
  <c r="O2" i="1"/>
  <c r="N2" i="1"/>
  <c r="M2" i="1"/>
  <c r="K4" i="5"/>
  <c r="J4" i="5"/>
  <c r="I4" i="5"/>
  <c r="H4" i="5"/>
  <c r="G4" i="5"/>
</calcChain>
</file>

<file path=xl/sharedStrings.xml><?xml version="1.0" encoding="utf-8"?>
<sst xmlns="http://schemas.openxmlformats.org/spreadsheetml/2006/main" count="14693" uniqueCount="2538">
  <si>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</si>
  <si>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</si>
  <si>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</si>
  <si>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</si>
  <si>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</si>
  <si>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</si>
  <si>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</si>
  <si>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</si>
  <si>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</si>
  <si>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</si>
  <si>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</si>
  <si>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</si>
  <si>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</si>
  <si>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</si>
  <si>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</si>
  <si>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</si>
  <si>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</si>
  <si>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</si>
  <si>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</si>
  <si>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</si>
  <si>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</si>
  <si>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</si>
  <si>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</si>
  <si>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</si>
  <si>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</si>
  <si>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</si>
  <si>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</si>
  <si>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</si>
  <si>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</si>
  <si>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</si>
  <si>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</si>
  <si>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</si>
  <si>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</si>
  <si>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</si>
  <si>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</si>
  <si>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</si>
  <si>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</si>
  <si>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</si>
  <si>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</si>
  <si>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</si>
  <si>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</si>
  <si>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</si>
  <si>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</si>
  <si>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</si>
  <si>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</si>
  <si>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</si>
  <si>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</si>
  <si>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</si>
  <si>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</si>
  <si>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</si>
  <si>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</si>
  <si>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</si>
  <si>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</si>
  <si>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</si>
  <si>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</si>
  <si>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</si>
  <si>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</si>
  <si>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</si>
  <si>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</si>
  <si>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</si>
  <si>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</si>
  <si>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</si>
  <si>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</si>
  <si>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</si>
  <si>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</si>
  <si>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</si>
  <si>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</si>
  <si>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</si>
  <si>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</si>
  <si>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</si>
  <si>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</si>
  <si>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</si>
  <si>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</si>
  <si>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</si>
  <si>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</si>
  <si>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</si>
  <si>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</si>
  <si>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</si>
  <si>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</si>
  <si>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</si>
  <si>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</si>
  <si>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</si>
  <si>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</si>
  <si>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</si>
  <si>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</si>
  <si>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</si>
  <si>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</si>
  <si>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</si>
  <si>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</si>
  <si>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</si>
  <si>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</si>
  <si>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</si>
  <si>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</si>
  <si>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</si>
  <si>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</si>
  <si>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</si>
  <si>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</si>
  <si>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</si>
  <si>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</si>
  <si>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</si>
  <si>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</si>
  <si>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</si>
  <si>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</si>
  <si>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</si>
  <si>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</si>
  <si>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</si>
  <si>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</si>
  <si>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</si>
  <si>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</si>
  <si>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</si>
  <si>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</si>
  <si>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</si>
  <si>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</si>
  <si>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</si>
  <si>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</si>
  <si>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</si>
  <si>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</si>
  <si>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</si>
  <si>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</si>
  <si>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</si>
  <si>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</si>
  <si>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</si>
  <si>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</si>
  <si>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</si>
  <si>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</si>
  <si>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</si>
  <si>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</si>
  <si>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</si>
  <si>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</si>
  <si>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</si>
  <si>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</si>
  <si>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</si>
  <si>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</si>
  <si>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</si>
  <si>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</si>
  <si>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</si>
  <si>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</si>
  <si>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</si>
  <si>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</si>
  <si>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</si>
  <si>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</si>
  <si>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</si>
  <si>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</si>
  <si>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</si>
  <si>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</si>
  <si>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</si>
  <si>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</si>
  <si>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</si>
  <si>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</si>
  <si>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</si>
  <si>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</si>
  <si>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</si>
  <si>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</si>
  <si>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</si>
  <si>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</si>
  <si>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</si>
  <si>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</si>
  <si>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</si>
  <si>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</si>
  <si>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</si>
  <si>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</si>
  <si>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</si>
  <si>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</si>
  <si>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</si>
  <si>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</si>
  <si>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</si>
  <si>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</si>
  <si>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</si>
  <si>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</si>
  <si>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</si>
  <si>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</si>
  <si>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</si>
  <si>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</si>
  <si>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</si>
  <si>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</si>
  <si>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</si>
  <si>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</si>
  <si>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</si>
  <si>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</si>
  <si>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</si>
  <si>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</si>
  <si>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</si>
  <si>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</si>
  <si>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</si>
  <si>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</si>
  <si>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</si>
  <si>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</si>
  <si>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</si>
  <si>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</si>
  <si>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</si>
  <si>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</si>
  <si>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</si>
  <si>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</si>
  <si>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</si>
  <si>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</si>
  <si>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</si>
  <si>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</si>
  <si>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</si>
  <si>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</si>
  <si>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</si>
  <si>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</si>
  <si>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</si>
  <si>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</si>
  <si>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</si>
  <si>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</si>
  <si>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</si>
  <si>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</si>
  <si>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</si>
  <si>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</si>
  <si>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</si>
  <si>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</si>
  <si>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</si>
  <si>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</si>
  <si>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</si>
  <si>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</si>
  <si>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</si>
  <si>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</si>
  <si>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</si>
  <si>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</si>
  <si>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</si>
  <si>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</si>
  <si>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</si>
  <si>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</si>
  <si>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</si>
  <si>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</si>
  <si>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</si>
  <si>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</si>
  <si>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</si>
  <si>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</si>
  <si>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</si>
  <si>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</si>
  <si>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</si>
  <si>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</si>
  <si>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</si>
  <si>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</si>
  <si>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</si>
  <si>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</si>
  <si>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</si>
  <si>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</si>
  <si>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</si>
  <si>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</si>
  <si>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</si>
  <si>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</si>
  <si>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</si>
  <si>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</si>
  <si>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</si>
  <si>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</si>
  <si>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</si>
  <si>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</si>
  <si>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</si>
  <si>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</si>
  <si>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</si>
  <si>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</si>
  <si>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</si>
  <si>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</si>
  <si>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</si>
  <si>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</si>
  <si>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</si>
  <si>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</si>
  <si>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</si>
  <si>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</si>
  <si>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</si>
  <si>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</si>
  <si>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</si>
  <si>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</si>
  <si>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</si>
  <si>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</si>
  <si>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</si>
  <si>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</si>
  <si>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</si>
  <si>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</si>
  <si>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</si>
  <si>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</si>
  <si>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</si>
  <si>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</si>
  <si>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</si>
  <si>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</si>
  <si>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</si>
  <si>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</si>
  <si>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</si>
  <si>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</si>
  <si>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</si>
  <si>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</si>
  <si>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</si>
  <si>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</si>
  <si>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</si>
  <si>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</si>
  <si>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</si>
  <si>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</si>
  <si>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</si>
  <si>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</si>
  <si>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</si>
  <si>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</si>
  <si>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</si>
  <si>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</si>
  <si>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</si>
  <si>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</si>
  <si>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</si>
  <si>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</si>
  <si>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</si>
  <si>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</si>
  <si>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</si>
  <si>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</si>
  <si>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</si>
  <si>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</si>
  <si>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</si>
  <si>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</si>
  <si>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</si>
  <si>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</si>
  <si>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</si>
  <si>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</si>
  <si>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</si>
  <si>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</si>
  <si>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</si>
  <si>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</si>
  <si>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</si>
  <si>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</si>
  <si>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</si>
  <si>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</si>
  <si>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</si>
  <si>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</si>
  <si>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</si>
  <si>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</si>
  <si>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</si>
  <si>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</si>
  <si>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</si>
  <si>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</si>
  <si>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</si>
  <si>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</si>
  <si>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</si>
  <si>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</si>
  <si>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</si>
  <si>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</si>
  <si>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</si>
  <si>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</si>
  <si>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</si>
  <si>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</si>
  <si>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</si>
  <si>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</si>
  <si>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</si>
  <si>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</si>
  <si>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</si>
  <si>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</si>
  <si>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</si>
  <si>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</si>
  <si>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</si>
  <si>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</si>
  <si>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</si>
  <si>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</si>
  <si>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</si>
  <si>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</si>
  <si>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</si>
  <si>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</si>
  <si>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</si>
  <si>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</si>
  <si>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</si>
  <si>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</si>
  <si>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</si>
  <si>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</si>
  <si>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</si>
  <si>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</si>
  <si>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</si>
  <si>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</si>
  <si>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</si>
  <si>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</si>
  <si>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</si>
  <si>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</si>
  <si>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</si>
  <si>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</si>
  <si>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</si>
  <si>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</si>
  <si>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</si>
  <si>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</si>
  <si>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</si>
  <si>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</si>
  <si>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</si>
  <si>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</si>
  <si>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</si>
  <si>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</si>
  <si>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</si>
  <si>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</si>
  <si>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</si>
  <si>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</si>
  <si>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</si>
  <si>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</si>
  <si>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</si>
  <si>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</si>
  <si>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</si>
  <si>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</si>
  <si>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</si>
  <si>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</si>
  <si>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</si>
  <si>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</si>
  <si>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</si>
  <si>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</si>
  <si>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</si>
  <si>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</si>
  <si>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</si>
  <si>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</si>
  <si>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</si>
  <si>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</si>
  <si>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</si>
  <si>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</si>
  <si>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</si>
  <si>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</si>
  <si>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</si>
  <si>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</si>
  <si>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</si>
  <si>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</si>
  <si>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</si>
  <si>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</si>
  <si>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</si>
  <si>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</si>
  <si>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</si>
  <si>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</si>
  <si>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</si>
  <si>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</si>
  <si>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</si>
  <si>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</si>
  <si>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</si>
  <si>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</si>
  <si>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</si>
  <si>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</si>
  <si>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</si>
  <si>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</si>
  <si>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</si>
  <si>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</si>
  <si>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</si>
  <si>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</si>
  <si>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</si>
  <si>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</si>
  <si>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</si>
  <si>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</si>
  <si>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</si>
  <si>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</si>
  <si>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</si>
  <si>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</si>
  <si>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</si>
  <si>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</si>
  <si>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</si>
  <si>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</si>
  <si>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</si>
  <si>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</si>
  <si>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</si>
  <si>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</si>
  <si>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</si>
  <si>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</si>
  <si>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</si>
  <si>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</si>
  <si>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</si>
  <si>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</si>
  <si>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</si>
  <si>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</si>
  <si>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</si>
  <si>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</si>
  <si>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</si>
  <si>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</si>
  <si>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</si>
  <si>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</si>
  <si>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</si>
  <si>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</si>
  <si>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</si>
  <si>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</si>
  <si>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</si>
  <si>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</si>
  <si>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</si>
  <si>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</si>
  <si>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</si>
  <si>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</si>
  <si>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</si>
  <si>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</si>
  <si>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</si>
  <si>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</si>
  <si>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</si>
  <si>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</si>
  <si>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</si>
  <si>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</si>
  <si>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</si>
  <si>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</si>
  <si>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</si>
  <si>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</si>
  <si>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</si>
  <si>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</si>
  <si>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</si>
  <si>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</si>
  <si>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</si>
  <si>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</si>
  <si>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</si>
  <si>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</si>
  <si>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</si>
  <si>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</si>
  <si>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</si>
  <si>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</si>
  <si>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</si>
  <si>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</si>
  <si>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</si>
  <si>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</si>
  <si>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</si>
  <si>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</si>
  <si>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</si>
  <si>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</si>
  <si>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</si>
  <si>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</si>
  <si>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</si>
  <si>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</si>
  <si>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</si>
  <si>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</si>
  <si>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</si>
  <si>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</si>
  <si>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</si>
  <si>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</si>
  <si>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</si>
  <si>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</si>
  <si>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</si>
  <si>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</si>
  <si>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</si>
  <si>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</si>
  <si>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</si>
  <si>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</si>
  <si>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</si>
  <si>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</si>
  <si>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</si>
  <si>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</si>
  <si>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</si>
  <si>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</si>
  <si>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</si>
  <si>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</si>
  <si>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</si>
  <si>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</si>
  <si>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</si>
  <si>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</si>
  <si>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</si>
  <si>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</si>
  <si>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</si>
  <si>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</si>
  <si>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</si>
  <si>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</si>
  <si>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</si>
  <si>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</si>
  <si>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</si>
  <si>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</si>
  <si>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</si>
  <si>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</si>
  <si>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</si>
  <si>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</si>
  <si>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</si>
  <si>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</si>
  <si>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</si>
  <si>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</si>
  <si>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</si>
  <si>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</si>
  <si>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</si>
  <si>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</si>
  <si>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</si>
  <si>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</si>
  <si>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</si>
  <si>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</si>
  <si>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</si>
  <si>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</si>
  <si>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</si>
  <si>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</si>
  <si>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</si>
  <si>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</si>
  <si>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</si>
  <si>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</si>
  <si>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</si>
  <si>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</si>
  <si>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</si>
  <si>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</si>
  <si>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</si>
  <si>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</si>
  <si>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</si>
  <si>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</si>
  <si>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</si>
  <si>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</si>
  <si>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</si>
  <si>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</si>
  <si>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</si>
  <si>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</si>
  <si>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</si>
  <si>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</si>
  <si>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</si>
  <si>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</si>
  <si>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</si>
  <si>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</si>
  <si>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</si>
  <si>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</si>
  <si>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</si>
  <si>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</si>
  <si>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</si>
  <si>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</si>
  <si>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</si>
  <si>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</si>
  <si>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</si>
  <si>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</si>
  <si>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</si>
  <si>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</si>
  <si>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</si>
  <si>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</si>
  <si>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</si>
  <si>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</si>
  <si>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</si>
  <si>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</si>
  <si>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</si>
  <si>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</si>
  <si>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</si>
  <si>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</si>
  <si>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</si>
  <si>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</si>
  <si>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</si>
  <si>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</si>
  <si>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</si>
  <si>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</si>
  <si>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</si>
  <si>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</si>
  <si>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</si>
  <si>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</si>
  <si>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</si>
  <si>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</si>
  <si>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</si>
  <si>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</si>
  <si>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</si>
  <si>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</si>
  <si>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</si>
  <si>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</si>
  <si>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</si>
  <si>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</si>
  <si>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</si>
  <si>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</si>
  <si>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</si>
  <si>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</si>
  <si>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</si>
  <si>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</si>
  <si>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</si>
  <si>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</si>
  <si>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</si>
  <si>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</si>
  <si>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</si>
  <si>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</si>
  <si>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</si>
  <si>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</si>
  <si>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</si>
  <si>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</si>
  <si>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</si>
  <si>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</si>
  <si>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</si>
  <si>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</si>
  <si>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</si>
  <si>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</si>
  <si>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</si>
  <si>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</si>
  <si>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</si>
  <si>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</si>
  <si>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</si>
  <si>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</si>
  <si>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</si>
  <si>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</si>
  <si>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</si>
  <si>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</si>
  <si>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</si>
  <si>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</si>
  <si>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</si>
  <si>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</si>
  <si>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</si>
  <si>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</si>
  <si>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</si>
  <si>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</si>
  <si>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</si>
  <si>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</si>
  <si>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</si>
  <si>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</si>
  <si>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</si>
  <si>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</si>
  <si>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</si>
  <si>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</si>
  <si>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</si>
  <si>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</si>
  <si>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</si>
  <si>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</si>
  <si>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</si>
  <si>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</si>
  <si>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</si>
  <si>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</si>
  <si>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</si>
  <si>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</si>
  <si>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</si>
  <si>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</si>
  <si>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</si>
  <si>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</si>
  <si>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</si>
  <si>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</si>
  <si>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</si>
  <si>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</si>
  <si>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</si>
  <si>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</si>
  <si>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</si>
  <si>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</si>
  <si>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</si>
  <si>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</si>
  <si>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</si>
  <si>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</si>
  <si>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</si>
  <si>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</si>
  <si>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</si>
  <si>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</si>
  <si>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</si>
  <si>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</si>
  <si>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</si>
  <si>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</si>
  <si>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</si>
  <si>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</si>
  <si>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</si>
  <si>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</si>
  <si>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</si>
  <si>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</si>
  <si>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</si>
  <si>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</si>
  <si>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</si>
  <si>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</si>
  <si>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</si>
  <si>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</si>
  <si>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</si>
  <si>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</si>
  <si>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</si>
  <si>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</si>
  <si>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</si>
  <si>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</si>
  <si>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</si>
  <si>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</si>
  <si>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</si>
  <si>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</si>
  <si>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</si>
  <si>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</si>
  <si>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</si>
  <si>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</si>
  <si>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</si>
  <si>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</si>
  <si>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</si>
  <si>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</si>
  <si>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</si>
  <si>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</si>
  <si>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</si>
  <si>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</si>
  <si>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</si>
  <si>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</si>
  <si>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</si>
  <si>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</si>
  <si>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</si>
  <si>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</si>
  <si>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</si>
  <si>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</si>
  <si>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</si>
  <si>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</si>
  <si>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</si>
  <si>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</si>
  <si>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</si>
  <si>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</si>
  <si>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</si>
  <si>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</si>
  <si>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</si>
  <si>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</si>
  <si>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</si>
  <si>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</si>
  <si>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</si>
  <si>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</si>
  <si>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</si>
  <si>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</si>
  <si>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</si>
  <si>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</si>
  <si>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</si>
  <si>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</si>
  <si>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</si>
  <si>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</si>
  <si>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</si>
  <si>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</si>
  <si>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</si>
  <si>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</si>
  <si>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</si>
  <si>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</si>
  <si>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</si>
  <si>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</si>
  <si>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</si>
  <si>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</si>
  <si>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</si>
  <si>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</si>
  <si>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</si>
  <si>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</si>
  <si>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</si>
  <si>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</si>
  <si>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</si>
  <si>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</si>
  <si>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</si>
  <si>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</si>
  <si>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</si>
  <si>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</si>
  <si>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</si>
  <si>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</si>
  <si>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</si>
  <si>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</si>
  <si>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</si>
  <si>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</si>
  <si>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</si>
  <si>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</si>
  <si>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</si>
  <si>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</si>
  <si>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</si>
  <si>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</si>
  <si>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</si>
  <si>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</si>
  <si>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</si>
  <si>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</si>
  <si>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</si>
  <si>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</si>
  <si>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</si>
  <si>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</si>
  <si>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</si>
  <si>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</si>
  <si>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</si>
  <si>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</si>
  <si>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</si>
  <si>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</si>
  <si>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</si>
  <si>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</si>
  <si>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</si>
  <si>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</si>
  <si>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</si>
  <si>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</si>
  <si>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</si>
  <si>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</si>
  <si>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</si>
  <si>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</si>
  <si>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</si>
  <si>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</si>
  <si>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</si>
  <si>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</si>
  <si>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</si>
  <si>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</si>
  <si>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</si>
  <si>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</si>
  <si>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</si>
  <si>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</si>
  <si>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</si>
  <si>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</si>
  <si>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</si>
  <si>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</si>
  <si>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</si>
  <si>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</si>
  <si>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</si>
  <si>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</si>
  <si>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</si>
  <si>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</si>
  <si>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</si>
  <si>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</si>
  <si>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</si>
  <si>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</si>
  <si>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</si>
  <si>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</si>
  <si>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</si>
  <si>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</si>
  <si>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</si>
  <si>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</si>
  <si>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</si>
  <si>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</si>
  <si>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</si>
  <si>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</si>
  <si>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</si>
  <si>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</si>
  <si>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</si>
  <si>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</si>
  <si>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</si>
  <si>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</si>
  <si>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</si>
  <si>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</si>
  <si>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</si>
  <si>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</si>
  <si>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</si>
  <si>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</si>
  <si>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</si>
  <si>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</si>
  <si>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</si>
  <si>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</si>
  <si>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</si>
  <si>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</si>
  <si>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</si>
  <si>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</si>
  <si>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</si>
  <si>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</si>
  <si>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</si>
  <si>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</si>
  <si>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</si>
  <si>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</si>
  <si>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</si>
  <si>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</si>
  <si>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</si>
  <si>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</si>
  <si>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</si>
  <si>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</si>
  <si>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</si>
  <si>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</si>
  <si>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</si>
  <si>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</si>
  <si>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</si>
  <si>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</si>
  <si>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</si>
  <si>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</si>
  <si>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</si>
  <si>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</si>
  <si>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</si>
  <si>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</si>
  <si>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</si>
  <si>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</si>
  <si>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</si>
  <si>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</si>
  <si>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</si>
  <si>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</si>
  <si>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</si>
  <si>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</si>
  <si>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</si>
  <si>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</si>
  <si>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</si>
  <si>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</si>
  <si>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</si>
  <si>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</si>
  <si>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</si>
  <si>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</si>
  <si>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</si>
  <si>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</si>
  <si>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</si>
  <si>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</si>
  <si>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</si>
  <si>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</si>
  <si>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</si>
  <si>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</si>
  <si>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</si>
  <si>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</si>
  <si>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</si>
  <si>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</si>
  <si>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</si>
  <si>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</si>
  <si>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</si>
  <si>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</si>
  <si>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</si>
  <si>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</si>
  <si>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</si>
  <si>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</si>
  <si>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</si>
  <si>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</si>
  <si>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</si>
  <si>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</si>
  <si>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</si>
  <si>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</si>
  <si>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</si>
  <si>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</si>
  <si>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</si>
  <si>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</si>
  <si>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</si>
  <si>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</si>
  <si>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</si>
  <si>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</si>
  <si>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</si>
  <si>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</si>
  <si>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</si>
  <si>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</si>
  <si>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</si>
  <si>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</si>
  <si>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</si>
  <si>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</si>
  <si>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</si>
  <si>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</si>
  <si>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</si>
  <si>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</si>
  <si>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</si>
  <si>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</si>
  <si>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</si>
  <si>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</si>
  <si>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</si>
  <si>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</si>
  <si>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</si>
  <si>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</si>
  <si>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</si>
  <si>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</si>
  <si>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</si>
  <si>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</si>
  <si>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</si>
  <si>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</si>
  <si>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</si>
  <si>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</si>
  <si>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</si>
  <si>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</si>
  <si>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</si>
  <si>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</si>
  <si>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</si>
  <si>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</si>
  <si>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</si>
  <si>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</si>
  <si>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</si>
  <si>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</si>
  <si>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</si>
  <si>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</si>
  <si>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</si>
  <si>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</si>
  <si>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</si>
  <si>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</si>
  <si>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</si>
  <si>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</si>
  <si>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</si>
  <si>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</si>
  <si>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</si>
  <si>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</si>
  <si>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</si>
  <si>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</si>
  <si>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</si>
  <si>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</si>
  <si>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</si>
  <si>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</si>
  <si>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</si>
  <si>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</si>
  <si>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</si>
  <si>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</si>
  <si>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</si>
  <si>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</si>
  <si>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</si>
  <si>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</si>
  <si>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</si>
  <si>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</si>
  <si>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</si>
  <si>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</si>
  <si>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</si>
  <si>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</si>
  <si>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</si>
  <si>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</si>
  <si>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</si>
  <si>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</si>
  <si>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</si>
  <si>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</si>
  <si>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</si>
  <si>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</si>
  <si>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</si>
  <si>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</si>
  <si>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</si>
  <si>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</si>
  <si>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</si>
  <si>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</si>
  <si>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</si>
  <si>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</si>
  <si>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</si>
  <si>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</si>
  <si>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</si>
  <si>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</si>
  <si>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</si>
  <si>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</si>
  <si>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</si>
  <si>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</si>
  <si>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</si>
  <si>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</si>
  <si>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</si>
  <si>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</si>
  <si>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</si>
  <si>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</si>
  <si>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</si>
  <si>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</si>
  <si>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</si>
  <si>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</si>
  <si>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</si>
  <si>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</si>
  <si>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</si>
  <si>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</si>
  <si>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</si>
  <si>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</si>
  <si>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</si>
  <si>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</si>
  <si>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</si>
  <si>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</si>
  <si>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</si>
  <si>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</si>
  <si>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</si>
  <si>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</si>
  <si>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</si>
  <si>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</si>
  <si>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</si>
  <si>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</si>
  <si>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</si>
  <si>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</si>
  <si>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</si>
  <si>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</si>
  <si>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</si>
  <si>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</si>
  <si>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</si>
  <si>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</si>
  <si>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</si>
  <si>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</si>
  <si>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</si>
  <si>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</si>
  <si>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</si>
  <si>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</si>
  <si>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</si>
  <si>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</si>
  <si>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</si>
  <si>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</si>
  <si>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</si>
  <si>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</si>
  <si>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</si>
  <si>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</si>
  <si>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</si>
  <si>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</si>
  <si>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</si>
  <si>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</si>
  <si>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</si>
  <si>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</si>
  <si>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</si>
  <si>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</si>
  <si>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</si>
  <si>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</si>
  <si>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</si>
  <si>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</si>
  <si>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</si>
  <si>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</si>
  <si>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</si>
  <si>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</si>
  <si>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</si>
  <si>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</si>
  <si>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</si>
  <si>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</si>
  <si>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</si>
  <si>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</si>
  <si>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</si>
  <si>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</si>
  <si>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</si>
  <si>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</si>
  <si>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</si>
  <si>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</si>
  <si>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</si>
  <si>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</si>
  <si>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</si>
  <si>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</si>
  <si>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</si>
  <si>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</si>
  <si>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</si>
  <si>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</si>
  <si>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</si>
  <si>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</si>
  <si>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</si>
  <si>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</si>
  <si>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</si>
  <si>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</si>
  <si>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</si>
  <si>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</si>
  <si>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</si>
  <si>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</si>
  <si>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</si>
  <si>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</si>
  <si>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</si>
  <si>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</si>
  <si>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</si>
  <si>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</si>
  <si>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</si>
  <si>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</si>
  <si>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</si>
  <si>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</si>
  <si>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</si>
  <si>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</si>
  <si>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</si>
  <si>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</si>
  <si>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</si>
  <si>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</si>
  <si>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</si>
  <si>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</si>
  <si>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</si>
  <si>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</si>
  <si>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</si>
  <si>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</si>
  <si>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</si>
  <si>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</si>
  <si>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</si>
  <si>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</si>
  <si>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</si>
  <si>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</si>
  <si>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</si>
  <si>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</si>
  <si>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</si>
  <si>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</si>
  <si>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</si>
  <si>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</si>
  <si>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</si>
  <si>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</si>
  <si>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</si>
  <si>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</si>
  <si>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</si>
  <si>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</si>
  <si>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</si>
  <si>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</si>
  <si>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</si>
  <si>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</si>
  <si>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</si>
  <si>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</si>
  <si>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</si>
  <si>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</si>
  <si>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</si>
  <si>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</si>
  <si>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</si>
  <si>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</si>
  <si>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</si>
  <si>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</si>
  <si>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</si>
  <si>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</si>
  <si>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</si>
  <si>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</si>
  <si>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</si>
  <si>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</si>
  <si>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</si>
  <si>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</si>
  <si>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</si>
  <si>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</si>
  <si>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</si>
  <si>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</si>
  <si>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</si>
  <si>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</si>
  <si>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</si>
  <si>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</si>
  <si>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</si>
  <si>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</si>
  <si>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</si>
  <si>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</si>
  <si>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</si>
  <si>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</si>
  <si>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</si>
  <si>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</si>
  <si>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</si>
  <si>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</si>
  <si>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</si>
  <si>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</si>
  <si>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</si>
  <si>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</si>
  <si>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</si>
  <si>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</si>
  <si>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</si>
  <si>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</si>
  <si>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</si>
  <si>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</si>
  <si>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</si>
  <si>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</si>
  <si>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</si>
  <si>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</si>
  <si>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</si>
  <si>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</si>
  <si>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</si>
  <si>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</si>
  <si>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</si>
  <si>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</si>
  <si>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</si>
  <si>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</si>
  <si>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</si>
  <si>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</si>
  <si>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</si>
  <si>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</si>
  <si>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</si>
  <si>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</si>
  <si>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</si>
  <si>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</si>
  <si>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</si>
  <si>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</si>
  <si>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</si>
  <si>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</si>
  <si>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</si>
  <si>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</si>
  <si>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</si>
  <si>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</si>
  <si>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</si>
  <si>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</si>
  <si>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</si>
  <si>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</si>
  <si>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</si>
  <si>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</si>
  <si>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</si>
  <si>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</si>
  <si>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</si>
  <si>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</si>
  <si>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</si>
  <si>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</si>
  <si>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</si>
  <si>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</si>
  <si>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</si>
  <si>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</si>
  <si>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</si>
  <si>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</si>
  <si>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</si>
  <si>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</si>
  <si>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</si>
  <si>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</si>
  <si>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</si>
  <si>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</si>
  <si>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</si>
  <si>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</si>
  <si>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</si>
  <si>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</si>
  <si>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</si>
  <si>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</si>
  <si>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</si>
  <si>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</si>
  <si>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</si>
  <si>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</si>
  <si>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</si>
  <si>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</si>
  <si>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</si>
  <si>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</si>
  <si>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</si>
  <si>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</si>
  <si>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</si>
  <si>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</si>
  <si>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</si>
  <si>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</si>
  <si>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</si>
  <si>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</si>
  <si>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</si>
  <si>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</si>
  <si>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</si>
  <si>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</si>
  <si>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</si>
  <si>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</si>
  <si>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</si>
  <si>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</si>
  <si>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</si>
  <si>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</si>
  <si>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</si>
  <si>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</si>
  <si>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</si>
  <si>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</si>
  <si>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</si>
  <si>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</si>
  <si>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</si>
  <si>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</si>
  <si>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</si>
  <si>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</si>
  <si>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</si>
  <si>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</si>
  <si>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</si>
  <si>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</si>
  <si>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</si>
  <si>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</si>
  <si>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</si>
  <si>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</si>
  <si>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</si>
  <si>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</si>
  <si>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</si>
  <si>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</si>
  <si>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</si>
  <si>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</si>
  <si>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</si>
  <si>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</si>
  <si>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</si>
  <si>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</si>
  <si>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</si>
  <si>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</si>
  <si>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</si>
  <si>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</si>
  <si>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</si>
  <si>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</si>
  <si>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</si>
  <si>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</si>
  <si>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</si>
  <si>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</si>
  <si>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</si>
  <si>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</si>
  <si>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</si>
  <si>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</si>
  <si>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</si>
  <si>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</si>
  <si>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</si>
  <si>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</si>
  <si>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</si>
  <si>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</si>
  <si>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</si>
  <si>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</si>
  <si>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</si>
  <si>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</si>
  <si>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</si>
  <si>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</si>
  <si>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</si>
  <si>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</si>
  <si>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</si>
  <si>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</si>
  <si>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</si>
  <si>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</si>
  <si>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</si>
  <si>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</si>
  <si>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</si>
  <si>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</si>
  <si>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</si>
  <si>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</si>
  <si>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</si>
  <si>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</si>
  <si>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</si>
  <si>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</si>
  <si>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</si>
  <si>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</si>
  <si>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</si>
  <si>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</si>
  <si>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</si>
  <si>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</si>
  <si>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</si>
  <si>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</si>
  <si>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</si>
  <si>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</si>
  <si>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</si>
  <si>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</si>
  <si>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</si>
  <si>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</si>
  <si>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</si>
  <si>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</si>
  <si>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</si>
  <si>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</si>
  <si>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</si>
  <si>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</si>
  <si>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</si>
  <si>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</si>
  <si>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</si>
  <si>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</si>
  <si>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</si>
  <si>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</si>
  <si>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</si>
  <si>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</si>
  <si>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</si>
  <si>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</si>
  <si>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</si>
  <si>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</si>
  <si>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</si>
  <si>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</si>
  <si>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</si>
  <si>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</si>
  <si>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</si>
  <si>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</si>
  <si>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</si>
  <si>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</si>
  <si>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</si>
  <si>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</si>
  <si>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</si>
  <si>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</si>
  <si>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</si>
  <si>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</si>
  <si>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</si>
  <si>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</si>
  <si>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</si>
  <si>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</si>
  <si>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</si>
  <si>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</si>
  <si>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</si>
  <si>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</si>
  <si>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</si>
  <si>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</si>
  <si>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</si>
  <si>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</si>
  <si>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</si>
  <si>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</si>
  <si>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</si>
  <si>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</si>
  <si>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</si>
  <si>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</si>
  <si>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</si>
  <si>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</si>
  <si>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</si>
  <si>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</si>
  <si>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</si>
  <si>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</si>
  <si>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</si>
  <si>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</si>
  <si>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</si>
  <si>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</si>
  <si>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</si>
  <si>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</si>
  <si>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</si>
  <si>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</si>
  <si>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</si>
  <si>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</si>
  <si>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</si>
  <si>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</si>
  <si>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</si>
  <si>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</si>
  <si>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</si>
  <si>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</si>
  <si>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</si>
  <si>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</si>
  <si>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</si>
  <si>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</si>
  <si>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</si>
  <si>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</si>
  <si>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</si>
  <si>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</si>
  <si>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</si>
  <si>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</si>
  <si>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</si>
  <si>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</si>
  <si>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</si>
  <si>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</si>
  <si>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</si>
  <si>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</si>
  <si>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</si>
  <si>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</si>
  <si>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</si>
  <si>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</si>
  <si>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</si>
  <si>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</si>
  <si>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</si>
  <si>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</si>
  <si>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</si>
  <si>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</si>
  <si>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</si>
  <si>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</si>
  <si>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</si>
  <si>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</si>
  <si>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</si>
  <si>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</si>
  <si>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</si>
  <si>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</si>
  <si>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</si>
  <si>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</si>
  <si>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</si>
  <si>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</si>
  <si>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</si>
  <si>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</si>
  <si>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</si>
  <si>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</si>
  <si>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</si>
  <si>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</si>
  <si>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</si>
  <si>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</si>
  <si>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</si>
  <si>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</si>
  <si>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</si>
  <si>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</si>
  <si>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</si>
  <si>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</si>
  <si>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</si>
  <si>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</si>
  <si>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</si>
  <si>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</si>
  <si>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</si>
  <si>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</si>
  <si>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</si>
  <si>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</si>
  <si>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</si>
  <si>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</si>
  <si>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</si>
  <si>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</si>
  <si>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</si>
  <si>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</si>
  <si>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</si>
  <si>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</si>
  <si>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</si>
  <si>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</si>
  <si>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</si>
  <si>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</si>
  <si>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</si>
  <si>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</si>
  <si>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</si>
  <si>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</si>
  <si>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</si>
  <si>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</si>
  <si>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</si>
  <si>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</si>
  <si>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</si>
  <si>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</si>
  <si>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</si>
  <si>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</si>
  <si>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</si>
  <si>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</si>
  <si>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</si>
  <si>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</si>
  <si>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</si>
  <si>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</si>
  <si>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</si>
  <si>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</si>
  <si>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</si>
  <si>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</si>
  <si>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</si>
  <si>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</si>
  <si>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</si>
  <si>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</si>
  <si>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</si>
  <si>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</si>
  <si>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</si>
  <si>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</si>
  <si>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</si>
  <si>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</si>
  <si>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</si>
  <si>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</si>
  <si>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</si>
  <si>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</si>
  <si>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</si>
  <si>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</si>
  <si>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</si>
  <si>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</si>
  <si>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</si>
  <si>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</si>
  <si>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</si>
  <si>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</si>
  <si>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</si>
  <si>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</si>
  <si>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</si>
  <si>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</si>
  <si>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</si>
  <si>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</si>
  <si>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</si>
  <si>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</si>
  <si>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</si>
  <si>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</si>
  <si>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</si>
  <si>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</si>
  <si>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</si>
  <si>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</si>
  <si>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</si>
  <si>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</si>
  <si>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</si>
  <si>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</si>
  <si>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</si>
  <si>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</si>
  <si>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</si>
  <si>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</si>
  <si>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</si>
  <si>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</si>
  <si>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</si>
  <si>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</si>
  <si>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</si>
  <si>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</si>
  <si>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</si>
  <si>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</si>
  <si>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</si>
  <si>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</si>
  <si>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</si>
  <si>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</si>
  <si>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</si>
  <si>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</si>
  <si>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</si>
  <si>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</si>
  <si>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</si>
  <si>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</si>
  <si>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</si>
  <si>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</si>
  <si>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</si>
  <si>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</si>
  <si>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</si>
  <si>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</si>
  <si>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</si>
  <si>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</si>
  <si>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</si>
  <si>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</si>
  <si>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</si>
  <si>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</si>
  <si>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</si>
  <si>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</si>
  <si>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</si>
  <si>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</si>
  <si>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</si>
  <si>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</si>
  <si>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</si>
  <si>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</si>
  <si>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</si>
  <si>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</si>
  <si>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</si>
  <si>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</si>
  <si>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</si>
  <si>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</si>
  <si>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</si>
  <si>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</si>
  <si>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</si>
  <si>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</si>
  <si>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</si>
  <si>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</si>
  <si>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</si>
  <si>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</si>
  <si>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</si>
  <si>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</si>
  <si>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</si>
  <si>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</si>
  <si>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</si>
  <si>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</si>
  <si>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</si>
  <si>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</si>
  <si>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</si>
  <si>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</si>
  <si>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</si>
  <si>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</si>
  <si>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</si>
  <si>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</si>
  <si>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</si>
  <si>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</si>
  <si>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</si>
  <si>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</si>
  <si>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</si>
  <si>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</si>
  <si>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</si>
  <si>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</si>
  <si>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</si>
  <si>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</si>
  <si>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</si>
  <si>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</si>
  <si>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</si>
  <si>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</si>
  <si>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</si>
  <si>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</si>
  <si>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</si>
  <si>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</si>
  <si>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</si>
  <si>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</si>
  <si>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</si>
  <si>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</si>
  <si>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</si>
  <si>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</si>
  <si>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</si>
  <si>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</si>
  <si>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</si>
  <si>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</si>
  <si>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</si>
  <si>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</si>
  <si>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</si>
  <si>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</si>
  <si>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</si>
  <si>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</si>
  <si>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</si>
  <si>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</si>
  <si>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</si>
  <si>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</si>
  <si>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</si>
  <si>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</si>
  <si>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</si>
  <si>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</si>
  <si>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</si>
  <si>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</si>
  <si>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</si>
  <si>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</si>
  <si>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</si>
  <si>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</si>
  <si>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</si>
  <si>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</si>
  <si>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</si>
  <si>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</si>
  <si>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</si>
  <si>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</si>
  <si>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</si>
  <si>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</si>
  <si>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</si>
  <si>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</si>
  <si>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</si>
  <si>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</si>
  <si>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</si>
  <si>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</si>
  <si>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</si>
  <si>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</si>
  <si>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</si>
  <si>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</si>
  <si>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</si>
  <si>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</si>
  <si>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</si>
  <si>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</si>
  <si>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</si>
  <si>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</si>
  <si>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</si>
  <si>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</si>
  <si>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</si>
  <si>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</si>
  <si>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</si>
  <si>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</si>
  <si>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</si>
  <si>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</si>
  <si>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</si>
  <si>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</si>
  <si>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</si>
  <si>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</si>
  <si>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</si>
  <si>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</si>
  <si>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</si>
  <si>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</si>
  <si>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</si>
  <si>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</si>
  <si>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</si>
  <si>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</si>
  <si>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</si>
  <si>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</si>
  <si>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</si>
  <si>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</si>
  <si>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</si>
  <si>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</si>
  <si>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</si>
  <si>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</si>
  <si>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</si>
  <si>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</si>
  <si>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</si>
  <si>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</si>
  <si>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</si>
  <si>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</si>
  <si>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</si>
  <si>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</si>
  <si>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</si>
  <si>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</si>
  <si>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</si>
  <si>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</si>
  <si>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</si>
  <si>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</si>
  <si>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</si>
  <si>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</si>
  <si>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</si>
  <si>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</si>
  <si>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</si>
  <si>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</si>
  <si>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</si>
  <si>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</si>
  <si>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</si>
  <si>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</si>
  <si>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</si>
  <si>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</si>
  <si>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</si>
  <si>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</si>
  <si>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</si>
  <si>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</si>
  <si>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</si>
  <si>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</si>
  <si>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</si>
  <si>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</si>
  <si>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</si>
  <si>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</si>
  <si>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</si>
  <si>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</si>
  <si>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</si>
  <si>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</si>
  <si>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</si>
  <si>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</si>
  <si>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</si>
  <si>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</si>
  <si>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</si>
  <si>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</si>
  <si>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</si>
  <si>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</si>
  <si>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</si>
  <si>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</si>
  <si>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</si>
  <si>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</si>
  <si>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</si>
  <si>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</si>
  <si>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</si>
  <si>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</si>
  <si>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</si>
  <si>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</si>
  <si>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</si>
  <si>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</si>
  <si>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</si>
  <si>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</si>
  <si>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</si>
  <si>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</si>
  <si>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</si>
  <si>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</si>
  <si>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</si>
  <si>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</si>
  <si>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</si>
  <si>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</si>
  <si>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</si>
  <si>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</si>
  <si>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</si>
  <si>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</si>
  <si>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</si>
  <si>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</si>
  <si>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</si>
  <si>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</si>
  <si>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</si>
  <si>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</si>
  <si>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</si>
  <si>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</si>
  <si>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</si>
  <si>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</si>
  <si>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</si>
  <si>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</si>
  <si>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</si>
  <si>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</si>
  <si>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</si>
  <si>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</si>
  <si>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</si>
  <si>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</si>
  <si>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</si>
  <si>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</si>
  <si>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</si>
  <si>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</si>
  <si>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</si>
  <si>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</si>
  <si>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</si>
  <si>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</si>
  <si>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</si>
  <si>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</si>
  <si>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</si>
  <si>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</si>
  <si>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</si>
  <si>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</si>
  <si>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</si>
  <si>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</si>
  <si>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</si>
  <si>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</si>
  <si>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</si>
  <si>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</si>
  <si>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</si>
  <si>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</si>
  <si>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</si>
  <si>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</si>
  <si>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</si>
  <si>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</si>
  <si>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</si>
  <si>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</si>
  <si>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</si>
  <si>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</si>
  <si>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</si>
  <si>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</si>
  <si>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</si>
  <si>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</si>
  <si>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</si>
  <si>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</si>
  <si>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</si>
  <si>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</si>
  <si>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</si>
  <si>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</si>
  <si>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</si>
  <si>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</si>
  <si>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</si>
  <si>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</si>
  <si>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</si>
  <si>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</si>
  <si>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</si>
  <si>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</si>
  <si>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</si>
  <si>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</si>
  <si>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</si>
  <si>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</si>
  <si>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</si>
  <si>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</si>
  <si>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</si>
  <si>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</si>
  <si>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</si>
  <si>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</si>
  <si>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</si>
  <si>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</si>
  <si>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</si>
  <si>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</si>
  <si>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</si>
  <si>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</si>
  <si>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</si>
  <si>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</si>
  <si>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</si>
  <si>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</si>
  <si>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</si>
  <si>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</si>
  <si>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</si>
  <si>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</si>
  <si>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</si>
  <si>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</si>
  <si>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</si>
  <si>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</si>
  <si>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</si>
  <si>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</si>
  <si>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</si>
  <si>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</si>
  <si>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</si>
  <si>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</si>
  <si>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</si>
  <si>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</si>
  <si>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</si>
  <si>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</si>
  <si>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</si>
  <si>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</si>
  <si>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</si>
  <si>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</si>
  <si>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</si>
  <si>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</si>
  <si>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</si>
  <si>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</si>
  <si>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</si>
  <si>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</si>
  <si>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</si>
  <si>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</si>
  <si>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</si>
  <si>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</si>
  <si>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</si>
  <si>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</si>
  <si>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</si>
  <si>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</si>
  <si>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</si>
  <si>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</si>
  <si>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</si>
  <si>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</si>
  <si>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</si>
  <si>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</si>
  <si>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</si>
  <si>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</si>
  <si>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</si>
  <si>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</si>
  <si>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</si>
  <si>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</si>
  <si>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</si>
  <si>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</si>
  <si>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</si>
  <si>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</si>
  <si>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</si>
  <si>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</si>
  <si>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</si>
  <si>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</si>
  <si>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</si>
  <si>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</si>
  <si>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</si>
  <si>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</si>
  <si>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</si>
  <si>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</si>
  <si>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</si>
  <si>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</si>
  <si>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</si>
  <si>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</si>
  <si>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</si>
  <si>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</si>
  <si>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</si>
  <si>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</si>
  <si>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</si>
  <si>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</si>
  <si>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</si>
  <si>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</si>
  <si>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</si>
  <si>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</si>
  <si>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</si>
  <si>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</si>
  <si>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</si>
  <si>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</si>
  <si>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</si>
  <si>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</si>
  <si>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</si>
  <si>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</si>
  <si>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</si>
  <si>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</si>
  <si>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</si>
  <si>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</si>
  <si>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</si>
  <si>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</si>
  <si>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</si>
  <si>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</si>
  <si>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</si>
  <si>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</si>
  <si>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</si>
  <si>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</si>
  <si>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</si>
  <si>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</si>
  <si>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</si>
  <si>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</si>
  <si>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</si>
  <si>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</si>
  <si>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</si>
  <si>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</si>
  <si>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</si>
  <si>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</si>
  <si>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</si>
  <si>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</si>
  <si>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</si>
  <si>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</si>
  <si>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</si>
  <si>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</si>
  <si>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</si>
  <si>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</si>
  <si>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</si>
  <si>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</si>
  <si>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</si>
  <si>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</si>
  <si>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</si>
  <si>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</si>
  <si>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</si>
  <si>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</si>
  <si>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</si>
  <si>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</si>
  <si>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</si>
  <si>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</si>
  <si>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</si>
  <si>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</si>
  <si>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</si>
  <si>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</si>
  <si>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</si>
  <si>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</si>
  <si>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</si>
  <si>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</si>
  <si>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</si>
  <si>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</si>
  <si>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</si>
  <si>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</si>
  <si>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</si>
  <si>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</si>
  <si>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</si>
  <si>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</si>
  <si>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</si>
  <si>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</si>
  <si>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</si>
  <si>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</si>
  <si>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</si>
  <si>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</si>
  <si>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</si>
  <si>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</si>
  <si>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</si>
  <si>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</si>
  <si>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</si>
  <si>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</si>
  <si>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</si>
  <si>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</si>
  <si>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</si>
  <si>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</si>
  <si>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</si>
  <si>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</si>
  <si>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</si>
  <si>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</si>
  <si>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</si>
  <si>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</si>
  <si>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</si>
  <si>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</si>
  <si>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</si>
  <si>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</si>
  <si>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</si>
  <si>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</si>
  <si>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</si>
  <si>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</si>
  <si>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</si>
  <si>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</si>
  <si>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</si>
  <si>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</si>
  <si>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</si>
  <si>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</si>
  <si>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</si>
  <si>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</si>
  <si>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</si>
  <si>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</si>
  <si>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</si>
  <si>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</si>
  <si>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</si>
  <si>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</si>
  <si>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</si>
  <si>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</si>
  <si>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</si>
  <si>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</si>
  <si>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</si>
  <si>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</si>
  <si>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</si>
  <si>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</si>
  <si>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</si>
  <si>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</si>
  <si>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</si>
  <si>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</si>
  <si>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</si>
  <si>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</si>
  <si>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</si>
  <si>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</si>
  <si>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</si>
  <si>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</si>
  <si>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</si>
  <si>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</si>
  <si>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</si>
  <si>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</si>
  <si>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</si>
  <si>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</si>
  <si>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</si>
  <si>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</si>
  <si>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</si>
  <si>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</si>
  <si>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</si>
  <si>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</si>
  <si>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</si>
  <si>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</si>
  <si>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</si>
  <si>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</si>
  <si>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</si>
  <si>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</si>
  <si>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</si>
  <si>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</si>
  <si>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</si>
  <si>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</si>
  <si>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</si>
  <si>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</si>
  <si>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</si>
  <si>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</si>
  <si>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</si>
  <si>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</si>
  <si>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</si>
  <si>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</si>
  <si>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</si>
  <si>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</si>
  <si>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</si>
  <si>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</si>
  <si>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</si>
  <si>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</si>
  <si>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</si>
  <si>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</si>
  <si>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</si>
  <si>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</si>
  <si>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</si>
  <si>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</si>
  <si>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</si>
  <si>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</si>
  <si>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</si>
  <si>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</si>
  <si>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</si>
  <si>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</si>
  <si>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</si>
  <si>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</si>
  <si>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</si>
  <si>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</si>
  <si>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</si>
  <si>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</si>
  <si>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</si>
  <si>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</si>
  <si>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</si>
  <si>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</si>
  <si>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</si>
  <si>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</si>
  <si>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</si>
  <si>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</si>
  <si>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</si>
  <si>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</si>
  <si>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</si>
  <si>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</si>
  <si>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</si>
  <si>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</si>
  <si>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</si>
  <si>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</si>
  <si>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</si>
  <si>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</si>
  <si>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</si>
  <si>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</si>
  <si>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</si>
  <si>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</si>
  <si>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</si>
  <si>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</si>
  <si>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</si>
  <si>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</si>
  <si>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</si>
  <si>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</si>
  <si>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</si>
  <si>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</si>
  <si>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</si>
  <si>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</si>
  <si>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</si>
  <si>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</si>
  <si>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</si>
  <si>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</si>
  <si>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</si>
  <si>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</si>
  <si>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</si>
  <si>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</si>
  <si>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</si>
  <si>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</si>
  <si>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</si>
  <si>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</si>
  <si>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</si>
  <si>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</si>
  <si>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</si>
  <si>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</si>
  <si>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</si>
  <si>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</si>
  <si>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</si>
  <si>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</si>
  <si>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</si>
  <si>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</si>
  <si>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</si>
  <si>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</si>
  <si>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</si>
  <si>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</si>
  <si>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</si>
  <si>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</si>
  <si>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</si>
  <si>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</si>
  <si>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</si>
  <si>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</si>
  <si>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</si>
  <si>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</si>
  <si>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</si>
  <si>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</si>
  <si>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</si>
  <si>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</si>
  <si>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</si>
  <si>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</si>
  <si>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</si>
  <si>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</si>
  <si>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</si>
  <si>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</si>
  <si>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</si>
  <si>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</si>
  <si>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</si>
  <si>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</si>
  <si>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</si>
  <si>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</si>
  <si>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</si>
  <si>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</si>
  <si>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</si>
  <si>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</si>
  <si>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</si>
  <si>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</si>
  <si>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</si>
  <si>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</si>
  <si>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</si>
  <si>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</si>
  <si>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</si>
  <si>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</si>
  <si>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</si>
  <si>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</si>
  <si>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</si>
  <si>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</si>
  <si>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</si>
  <si>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</si>
  <si>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</si>
  <si>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</si>
  <si>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</si>
  <si>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</si>
  <si>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</si>
  <si>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</si>
  <si>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</si>
  <si>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</si>
  <si>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</si>
  <si>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</si>
  <si>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</si>
  <si>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</si>
  <si>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</si>
  <si>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</si>
  <si>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</si>
  <si>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</si>
  <si>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</si>
  <si>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</si>
  <si>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</si>
  <si>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</si>
  <si>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</si>
  <si>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</si>
  <si>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</si>
  <si>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</si>
  <si>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</si>
  <si>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</si>
  <si>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</si>
  <si>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</si>
  <si>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</si>
  <si>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</si>
  <si>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</si>
  <si>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</si>
  <si>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</si>
  <si>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</si>
  <si>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</si>
  <si>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</si>
  <si>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</si>
  <si>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</si>
  <si>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</si>
  <si>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</si>
  <si>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</si>
  <si>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</si>
  <si>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</si>
  <si>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</si>
  <si>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</si>
  <si>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</si>
  <si>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</si>
  <si>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</si>
  <si>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</si>
  <si>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</si>
  <si>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</si>
  <si>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</si>
  <si>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</si>
  <si>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</si>
  <si>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</si>
  <si>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</si>
  <si>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</si>
  <si>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</si>
  <si>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</si>
  <si>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</si>
  <si>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</si>
  <si>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</si>
  <si>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</si>
  <si>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</si>
  <si>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</si>
  <si>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</si>
  <si>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</si>
  <si>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</si>
  <si>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</si>
  <si>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</si>
  <si>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</si>
  <si>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</si>
  <si>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</si>
  <si>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</si>
  <si>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</si>
  <si>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</si>
  <si>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</si>
  <si>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</si>
  <si>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</si>
  <si>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</si>
  <si>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</si>
  <si>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</si>
  <si>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</si>
  <si>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</si>
  <si>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</si>
  <si>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</si>
  <si>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</si>
  <si>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</si>
  <si>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</si>
  <si>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</si>
  <si>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</si>
  <si>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</si>
  <si>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</si>
  <si>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</si>
  <si>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</si>
  <si>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</si>
  <si>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</si>
  <si>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</si>
  <si>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</si>
  <si>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</si>
  <si>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</si>
  <si>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</si>
  <si>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</si>
  <si>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</si>
  <si>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</si>
  <si>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</si>
  <si>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</si>
  <si>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</si>
  <si>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</si>
  <si>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</si>
  <si>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</si>
  <si>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</si>
  <si>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</si>
  <si>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</si>
  <si>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</si>
  <si>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</si>
  <si>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</si>
  <si>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</si>
  <si>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</si>
  <si>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</si>
  <si>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</si>
  <si>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</si>
  <si>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</si>
  <si>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</si>
  <si>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</si>
  <si>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</si>
  <si>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</si>
  <si>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</si>
  <si>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</si>
  <si>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</si>
  <si>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</si>
  <si>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</si>
  <si>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</si>
  <si>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</si>
  <si>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</si>
  <si>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</si>
  <si>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</si>
  <si>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</si>
  <si>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</si>
  <si>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</si>
  <si>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</si>
  <si>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</si>
  <si>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</si>
  <si>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</si>
  <si>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</si>
  <si>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</si>
  <si>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</si>
  <si>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</si>
  <si>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</si>
  <si>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</si>
  <si>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</si>
  <si>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</si>
  <si>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</si>
  <si>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</si>
  <si>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</si>
  <si>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</si>
  <si>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</si>
  <si>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</si>
  <si>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</si>
  <si>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</si>
  <si>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</si>
  <si>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</si>
  <si>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</si>
  <si>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</si>
  <si>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</si>
  <si>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</si>
  <si>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</si>
  <si>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</si>
  <si>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</si>
  <si>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</si>
  <si>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</si>
  <si>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</si>
  <si>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</si>
  <si>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</si>
  <si>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</si>
  <si>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</si>
  <si>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</si>
  <si>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</si>
  <si>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</si>
  <si>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</si>
  <si>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</si>
  <si>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</si>
  <si>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</si>
  <si>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</si>
  <si>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</si>
  <si>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</si>
  <si>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</si>
  <si>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</si>
  <si>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</si>
  <si>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</si>
  <si>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</si>
  <si>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</si>
  <si>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</si>
  <si>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</si>
  <si>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</si>
  <si>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</si>
  <si>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</si>
  <si>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</si>
  <si>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</si>
  <si>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</si>
  <si>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</si>
  <si>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</si>
  <si>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</si>
  <si>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</si>
  <si>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</si>
  <si>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</si>
  <si>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</si>
  <si>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</si>
  <si>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</si>
  <si>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</si>
  <si>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</si>
  <si>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</si>
  <si>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</si>
  <si>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</si>
  <si>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</si>
  <si>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</si>
  <si>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</si>
  <si>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</si>
  <si>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Row Labels</t>
  </si>
  <si>
    <t>Grand Total</t>
  </si>
  <si>
    <t>Count of TX ID</t>
  </si>
  <si>
    <t>Sum of Quantity</t>
  </si>
  <si>
    <t>Sum of Amount</t>
  </si>
  <si>
    <t>Average of Rating C</t>
  </si>
  <si>
    <t>Average of Days to Deliver</t>
  </si>
  <si>
    <t>Values for Display</t>
  </si>
  <si>
    <t>For Trends</t>
  </si>
  <si>
    <t>Column Labels</t>
  </si>
  <si>
    <t>FEMALE</t>
  </si>
  <si>
    <t>MALE</t>
  </si>
  <si>
    <t>OTHERS</t>
  </si>
  <si>
    <t>UNKNOWN</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</si>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</sst>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5" x14ac:knownFonts="1">
    <font>
      <sz val="11"/>
      <color theme="1"/>
      <name val="Aptos Narrow"/>
      <family val="2"/>
      <scheme val="minor"/>
    </font>
    <font>
      <b/>
      <sz val="11"/>
      <color theme="1"/>
      <name val="Aptos Narrow"/>
      <family val="2"/>
      <scheme val="minor"/>
    </font>
    <font>
      <b/>
      <sz val="12"/>
      <color theme="1"/>
      <name val="Aptos Display"/>
      <family val="2"/>
      <scheme val="major"/>
    </font>
    <font>
      <b/>
      <sz val="11"/>
      <color theme="1"/>
      <name val="Aptos Display"/>
      <family val="2"/>
      <scheme val="major"/>
    </font>
    <font>
      <sz val="11"/>
      <color theme="1"/>
      <name val="Aptos Display"/>
      <family val="2"/>
      <scheme val="maj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xf numFmtId="0" fontId="0" fillId="0" borderId="2" xfId="0" applyBorder="1"/>
    <xf numFmtId="0" fontId="2" fillId="0" borderId="2" xfId="0" applyFont="1" applyBorder="1"/>
    <xf numFmtId="0" fontId="3" fillId="0" borderId="2" xfId="0" applyFont="1" applyBorder="1" applyAlignment="1">
      <alignment horizontal="center"/>
    </xf>
    <xf numFmtId="165" fontId="0" fillId="0" borderId="2" xfId="0" applyNumberFormat="1" applyBorder="1" applyAlignment="1">
      <alignment horizontal="center"/>
    </xf>
    <xf numFmtId="0" fontId="1" fillId="3" borderId="1" xfId="0" applyFont="1" applyFill="1" applyBorder="1"/>
    <xf numFmtId="0" fontId="0" fillId="0" borderId="3" xfId="0" applyBorder="1"/>
    <xf numFmtId="0" fontId="1" fillId="0" borderId="3" xfId="0" applyFont="1" applyBorder="1" applyAlignment="1">
      <alignment horizontal="center"/>
    </xf>
    <xf numFmtId="0" fontId="2" fillId="0" borderId="3" xfId="0" applyFont="1" applyBorder="1"/>
    <xf numFmtId="10" fontId="4" fillId="0" borderId="3" xfId="0" applyNumberFormat="1" applyFont="1" applyBorder="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[ecommerce-dashboard.xlsx]Pivot!PivotPopular</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Pivot!$B$38:$B$39</c:f>
              <c:strCache>
                <c:ptCount val="1"/>
                <c:pt idx="0">
                  <c:v>FEMALE</c:v>
                </c:pt>
              </c:strCache>
            </c:strRef>
          </c:tx>
          <c:spPr>
            <a:solidFill>
              <a:schemeClr val="accent1"/>
            </a:solidFill>
            <a:ln>
              <a:noFill/>
            </a:ln>
            <a:effectLst/>
          </c:spPr>
          <c:invertIfNegative val="0"/>
          <c:cat>
            <c:strRef>
              <c:f>Pivot!$A$40:$A$60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Pivot!$B$40:$B$60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C322-4824-801A-C3960FEF9DF8}"/>
            </c:ext>
          </c:extLst>
        </c:ser>
        <c:ser>
          <c:idx val="1"/>
          <c:order val="1"/>
          <c:tx>
            <c:strRef>
              <c:f>Pivot!$C$38:$C$39</c:f>
              <c:strCache>
                <c:ptCount val="1"/>
                <c:pt idx="0">
                  <c:v>MALE</c:v>
                </c:pt>
              </c:strCache>
            </c:strRef>
          </c:tx>
          <c:spPr>
            <a:solidFill>
              <a:schemeClr val="accent2"/>
            </a:solidFill>
            <a:ln>
              <a:noFill/>
            </a:ln>
            <a:effectLst/>
          </c:spPr>
          <c:invertIfNegative val="0"/>
          <c:cat>
            <c:strRef>
              <c:f>Pivot!$A$40:$A$60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Pivot!$C$40:$C$60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EB9D-4026-8472-C419A50F8364}"/>
            </c:ext>
          </c:extLst>
        </c:ser>
        <c:ser>
          <c:idx val="2"/>
          <c:order val="2"/>
          <c:tx>
            <c:strRef>
              <c:f>Pivot!$D$38:$D$39</c:f>
              <c:strCache>
                <c:ptCount val="1"/>
                <c:pt idx="0">
                  <c:v>OTHERS</c:v>
                </c:pt>
              </c:strCache>
            </c:strRef>
          </c:tx>
          <c:spPr>
            <a:solidFill>
              <a:schemeClr val="accent3"/>
            </a:solidFill>
            <a:ln>
              <a:noFill/>
            </a:ln>
            <a:effectLst/>
          </c:spPr>
          <c:invertIfNegative val="0"/>
          <c:cat>
            <c:strRef>
              <c:f>Pivot!$A$40:$A$60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Pivot!$D$40:$D$60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EB9D-4026-8472-C419A50F8364}"/>
            </c:ext>
          </c:extLst>
        </c:ser>
        <c:ser>
          <c:idx val="3"/>
          <c:order val="3"/>
          <c:tx>
            <c:strRef>
              <c:f>Pivot!$E$38:$E$39</c:f>
              <c:strCache>
                <c:ptCount val="1"/>
                <c:pt idx="0">
                  <c:v>UNKNOWN</c:v>
                </c:pt>
              </c:strCache>
            </c:strRef>
          </c:tx>
          <c:spPr>
            <a:solidFill>
              <a:schemeClr val="accent4"/>
            </a:solidFill>
            <a:ln>
              <a:noFill/>
            </a:ln>
            <a:effectLst/>
          </c:spPr>
          <c:invertIfNegative val="0"/>
          <c:cat>
            <c:strRef>
              <c:f>Pivot!$A$40:$A$60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Pivot!$E$40:$E$60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2-EB9D-4026-8472-C419A50F8364}"/>
            </c:ext>
          </c:extLst>
        </c:ser>
        <c:dLbls>
          <c:showLegendKey val="0"/>
          <c:showVal val="0"/>
          <c:showCatName val="0"/>
          <c:showSerName val="0"/>
          <c:showPercent val="0"/>
          <c:showBubbleSize val="0"/>
        </c:dLbls>
        <c:gapWidth val="150"/>
        <c:overlap val="100"/>
        <c:axId val="2071727407"/>
        <c:axId val="2071724527"/>
      </c:barChart>
      <c:catAx>
        <c:axId val="207172740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24527"/>
        <c:crosses val="autoZero"/>
        <c:auto val="1"/>
        <c:lblAlgn val="ctr"/>
        <c:lblOffset val="100"/>
        <c:noMultiLvlLbl val="0"/>
      </c:catAx>
      <c:valAx>
        <c:axId val="207172452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2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6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2222222222221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11111111111111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Pivot!$N$38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9789-4D39-BCED-9B2EFCF8CA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789-4D39-BCED-9B2EFCF8CA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9789-4D39-BCED-9B2EFCF8CA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9789-4D39-BCED-9B2EFCF8CA3C}"/>
              </c:ext>
            </c:extLst>
          </c:dPt>
          <c:dLbls>
            <c:dLbl>
              <c:idx val="0"/>
              <c:layout>
                <c:manualLayout>
                  <c:x val="0.12222222222222212"/>
                  <c:y val="-0.1111111111111111"/>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89-4D39-BCED-9B2EFCF8CA3C}"/>
                </c:ext>
              </c:extLst>
            </c:dLbl>
            <c:dLbl>
              <c:idx val="1"/>
              <c:layout>
                <c:manualLayout>
                  <c:x val="0.11666666666666667"/>
                  <c:y val="-4.629629629629629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89-4D39-BCED-9B2EFCF8CA3C}"/>
                </c:ext>
              </c:extLst>
            </c:dLbl>
            <c:dLbl>
              <c:idx val="2"/>
              <c:layout>
                <c:manualLayout>
                  <c:x val="0.14166666666666666"/>
                  <c:y val="9.2592592592592587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89-4D39-BCED-9B2EFCF8CA3C}"/>
                </c:ext>
              </c:extLst>
            </c:dLbl>
            <c:dLbl>
              <c:idx val="3"/>
              <c:layout>
                <c:manualLayout>
                  <c:x val="-0.16111111111111112"/>
                  <c:y val="-0.10648148148148148"/>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89-4D39-BCED-9B2EFCF8CA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Pivot!$M$39:$M$43</c:f>
              <c:strCache>
                <c:ptCount val="4"/>
                <c:pt idx="0">
                  <c:v>FEMALE</c:v>
                </c:pt>
                <c:pt idx="1">
                  <c:v>MALE</c:v>
                </c:pt>
                <c:pt idx="2">
                  <c:v>OTHERS</c:v>
                </c:pt>
                <c:pt idx="3">
                  <c:v>UNKNOWN</c:v>
                </c:pt>
              </c:strCache>
            </c:strRef>
          </c:cat>
          <c:val>
            <c:numRef>
              <c:f>Pivot!$N$39:$N$43</c:f>
              <c:numCache>
                <c:formatCode>General</c:formatCode>
                <c:ptCount val="4"/>
                <c:pt idx="0">
                  <c:v>736</c:v>
                </c:pt>
                <c:pt idx="1">
                  <c:v>4672</c:v>
                </c:pt>
                <c:pt idx="2">
                  <c:v>317</c:v>
                </c:pt>
                <c:pt idx="3">
                  <c:v>6272</c:v>
                </c:pt>
              </c:numCache>
            </c:numRef>
          </c:val>
          <c:extLst>
            <c:ext xmlns:c16="http://schemas.microsoft.com/office/drawing/2014/chart" uri="{C3380CC4-5D6E-409C-BE32-E72D297353CC}">
              <c16:uniqueId val="{00000000-9789-4D39-BCED-9B2EFCF8CA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[ecommerce-dashboard.xlsx]Pivot!PivotShip</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Pivot!$A$131:$A$144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Pivot!$B$131:$B$144</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extLst>
            <c:ext xmlns:c16="http://schemas.microsoft.com/office/drawing/2014/chart" uri="{C3380CC4-5D6E-409C-BE32-E72D297353CC}">
              <c16:uniqueId val="{00000000-3502-4A0F-9605-FA8C0DD31A40}"/>
            </c:ext>
          </c:extLst>
        </c:ser>
        <c:dLbls>
          <c:showLegendKey val="0"/>
          <c:showVal val="0"/>
          <c:showCatName val="0"/>
          <c:showSerName val="0"/>
          <c:showPercent val="0"/>
          <c:showBubbleSize val="0"/>
        </c:dLbls>
        <c:gapWidth val="70"/>
        <c:overlap val="-27"/>
        <c:axId val="312655071"/>
        <c:axId val="312655551"/>
      </c:barChart>
      <c:catAx>
        <c:axId val="3126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55551"/>
        <c:crosses val="autoZero"/>
        <c:auto val="1"/>
        <c:lblAlgn val="ctr"/>
        <c:lblOffset val="100"/>
        <c:noMultiLvlLbl val="0"/>
      </c:catAx>
      <c:valAx>
        <c:axId val="31265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5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[ecommerce-dashboard.xlsx]Pivot!PivotBar</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Pivot!$B$150</c:f>
              <c:strCache>
                <c:ptCount val="1"/>
                <c:pt idx="0">
                  <c:v>Total</c:v>
                </c:pt>
              </c:strCache>
            </c:strRef>
          </c:tx>
          <c:spPr>
            <a:solidFill>
              <a:schemeClr val="accent1"/>
            </a:solidFill>
            <a:ln>
              <a:noFill/>
            </a:ln>
            <a:effectLst/>
          </c:spPr>
          <c:invertIfNegative val="0"/>
          <c:cat>
            <c:strRef>
              <c:f>Pivot!$A$151:$A$158</c:f>
              <c:strCache>
                <c:ptCount val="7"/>
                <c:pt idx="0">
                  <c:v>1</c:v>
                </c:pt>
                <c:pt idx="1">
                  <c:v>2</c:v>
                </c:pt>
                <c:pt idx="2">
                  <c:v>3</c:v>
                </c:pt>
                <c:pt idx="3">
                  <c:v>5</c:v>
                </c:pt>
                <c:pt idx="4">
                  <c:v>4</c:v>
                </c:pt>
                <c:pt idx="5">
                  <c:v>6 to 10</c:v>
                </c:pt>
                <c:pt idx="6">
                  <c:v>More than 10</c:v>
                </c:pt>
              </c:strCache>
            </c:strRef>
          </c:cat>
          <c:val>
            <c:numRef>
              <c:f>Pivot!$B$151:$B$158</c:f>
              <c:numCache>
                <c:formatCode>General</c:formatCode>
                <c:ptCount val="7"/>
                <c:pt idx="0">
                  <c:v>397</c:v>
                </c:pt>
                <c:pt idx="1">
                  <c:v>540</c:v>
                </c:pt>
                <c:pt idx="2">
                  <c:v>375</c:v>
                </c:pt>
                <c:pt idx="3">
                  <c:v>195</c:v>
                </c:pt>
                <c:pt idx="4">
                  <c:v>246</c:v>
                </c:pt>
                <c:pt idx="5">
                  <c:v>414</c:v>
                </c:pt>
                <c:pt idx="6">
                  <c:v>233</c:v>
                </c:pt>
              </c:numCache>
            </c:numRef>
          </c:val>
          <c:extLst>
            <c:ext xmlns:c16="http://schemas.microsoft.com/office/drawing/2014/chart" uri="{C3380CC4-5D6E-409C-BE32-E72D297353CC}">
              <c16:uniqueId val="{00000000-6BDE-4869-B1C6-DA61A1342C86}"/>
            </c:ext>
          </c:extLst>
        </c:ser>
        <c:dLbls>
          <c:showLegendKey val="0"/>
          <c:showVal val="0"/>
          <c:showCatName val="0"/>
          <c:showSerName val="0"/>
          <c:showPercent val="0"/>
          <c:showBubbleSize val="0"/>
        </c:dLbls>
        <c:gapWidth val="219"/>
        <c:overlap val="-27"/>
        <c:axId val="210022463"/>
        <c:axId val="210014783"/>
      </c:barChart>
      <c:catAx>
        <c:axId val="21002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4783"/>
        <c:crosses val="autoZero"/>
        <c:auto val="1"/>
        <c:lblAlgn val="ctr"/>
        <c:lblOffset val="100"/>
        <c:noMultiLvlLbl val="0"/>
      </c:catAx>
      <c:valAx>
        <c:axId val="21001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[ecommerce-dashboard.xlsx]Pivot!PivotRating</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Pivot!$B$163:$B$164</c:f>
              <c:strCache>
                <c:ptCount val="1"/>
                <c:pt idx="0">
                  <c:v>1</c:v>
                </c:pt>
              </c:strCache>
            </c:strRef>
          </c:tx>
          <c:spPr>
            <a:solidFill>
              <a:schemeClr val="accent2">
                <a:shade val="53000"/>
              </a:schemeClr>
            </a:solidFill>
            <a:ln>
              <a:noFill/>
            </a:ln>
            <a:effectLst/>
          </c:spPr>
          <c:invertIfNegative val="0"/>
          <c:cat>
            <c:strRef>
              <c:f>Pivot!$A$165:$A$168</c:f>
              <c:strCache>
                <c:ptCount val="3"/>
                <c:pt idx="0">
                  <c:v>Jan</c:v>
                </c:pt>
                <c:pt idx="1">
                  <c:v>Feb</c:v>
                </c:pt>
                <c:pt idx="2">
                  <c:v>Mar</c:v>
                </c:pt>
              </c:strCache>
            </c:strRef>
          </c:cat>
          <c:val>
            <c:numRef>
              <c:f>Pivot!$B$165:$B$168</c:f>
              <c:numCache>
                <c:formatCode>General</c:formatCode>
                <c:ptCount val="3"/>
                <c:pt idx="0">
                  <c:v>48</c:v>
                </c:pt>
                <c:pt idx="1">
                  <c:v>26</c:v>
                </c:pt>
                <c:pt idx="2">
                  <c:v>27</c:v>
                </c:pt>
              </c:numCache>
            </c:numRef>
          </c:val>
          <c:extLst>
            <c:ext xmlns:c16="http://schemas.microsoft.com/office/drawing/2014/chart" uri="{C3380CC4-5D6E-409C-BE32-E72D297353CC}">
              <c16:uniqueId val="{00000000-DAAA-4CE3-ACE7-D5E549530459}"/>
            </c:ext>
          </c:extLst>
        </c:ser>
        <c:ser>
          <c:idx val="1"/>
          <c:order val="1"/>
          <c:tx>
            <c:strRef>
              <c:f>Pivot!$C$163:$C$164</c:f>
              <c:strCache>
                <c:ptCount val="1"/>
                <c:pt idx="0">
                  <c:v>2</c:v>
                </c:pt>
              </c:strCache>
            </c:strRef>
          </c:tx>
          <c:spPr>
            <a:solidFill>
              <a:schemeClr val="accent2">
                <a:shade val="76000"/>
              </a:schemeClr>
            </a:solidFill>
            <a:ln>
              <a:noFill/>
            </a:ln>
            <a:effectLst/>
          </c:spPr>
          <c:invertIfNegative val="0"/>
          <c:cat>
            <c:strRef>
              <c:f>Pivot!$A$165:$A$168</c:f>
              <c:strCache>
                <c:ptCount val="3"/>
                <c:pt idx="0">
                  <c:v>Jan</c:v>
                </c:pt>
                <c:pt idx="1">
                  <c:v>Feb</c:v>
                </c:pt>
                <c:pt idx="2">
                  <c:v>Mar</c:v>
                </c:pt>
              </c:strCache>
            </c:strRef>
          </c:cat>
          <c:val>
            <c:numRef>
              <c:f>Pivot!$C$165:$C$168</c:f>
              <c:numCache>
                <c:formatCode>General</c:formatCode>
                <c:ptCount val="3"/>
                <c:pt idx="0">
                  <c:v>188</c:v>
                </c:pt>
                <c:pt idx="1">
                  <c:v>266</c:v>
                </c:pt>
                <c:pt idx="2">
                  <c:v>170</c:v>
                </c:pt>
              </c:numCache>
            </c:numRef>
          </c:val>
          <c:extLst>
            <c:ext xmlns:c16="http://schemas.microsoft.com/office/drawing/2014/chart" uri="{C3380CC4-5D6E-409C-BE32-E72D297353CC}">
              <c16:uniqueId val="{00000001-DAAA-4CE3-ACE7-D5E549530459}"/>
            </c:ext>
          </c:extLst>
        </c:ser>
        <c:ser>
          <c:idx val="2"/>
          <c:order val="2"/>
          <c:tx>
            <c:strRef>
              <c:f>Pivot!$D$163:$D$164</c:f>
              <c:strCache>
                <c:ptCount val="1"/>
                <c:pt idx="0">
                  <c:v>3</c:v>
                </c:pt>
              </c:strCache>
            </c:strRef>
          </c:tx>
          <c:spPr>
            <a:solidFill>
              <a:schemeClr val="accent2"/>
            </a:solidFill>
            <a:ln>
              <a:noFill/>
            </a:ln>
            <a:effectLst/>
          </c:spPr>
          <c:invertIfNegative val="0"/>
          <c:cat>
            <c:strRef>
              <c:f>Pivot!$A$165:$A$168</c:f>
              <c:strCache>
                <c:ptCount val="3"/>
                <c:pt idx="0">
                  <c:v>Jan</c:v>
                </c:pt>
                <c:pt idx="1">
                  <c:v>Feb</c:v>
                </c:pt>
                <c:pt idx="2">
                  <c:v>Mar</c:v>
                </c:pt>
              </c:strCache>
            </c:strRef>
          </c:cat>
          <c:val>
            <c:numRef>
              <c:f>Pivot!$D$165:$D$168</c:f>
              <c:numCache>
                <c:formatCode>General</c:formatCode>
                <c:ptCount val="3"/>
                <c:pt idx="0">
                  <c:v>775</c:v>
                </c:pt>
                <c:pt idx="1">
                  <c:v>881</c:v>
                </c:pt>
                <c:pt idx="2">
                  <c:v>720</c:v>
                </c:pt>
              </c:numCache>
            </c:numRef>
          </c:val>
          <c:extLst>
            <c:ext xmlns:c16="http://schemas.microsoft.com/office/drawing/2014/chart" uri="{C3380CC4-5D6E-409C-BE32-E72D297353CC}">
              <c16:uniqueId val="{00000002-DAAA-4CE3-ACE7-D5E549530459}"/>
            </c:ext>
          </c:extLst>
        </c:ser>
        <c:ser>
          <c:idx val="3"/>
          <c:order val="3"/>
          <c:tx>
            <c:strRef>
              <c:f>Pivot!$E$163:$E$164</c:f>
              <c:strCache>
                <c:ptCount val="1"/>
                <c:pt idx="0">
                  <c:v>4</c:v>
                </c:pt>
              </c:strCache>
            </c:strRef>
          </c:tx>
          <c:spPr>
            <a:solidFill>
              <a:schemeClr val="accent2">
                <a:tint val="77000"/>
              </a:schemeClr>
            </a:solidFill>
            <a:ln>
              <a:noFill/>
            </a:ln>
            <a:effectLst/>
          </c:spPr>
          <c:invertIfNegative val="0"/>
          <c:cat>
            <c:strRef>
              <c:f>Pivot!$A$165:$A$168</c:f>
              <c:strCache>
                <c:ptCount val="3"/>
                <c:pt idx="0">
                  <c:v>Jan</c:v>
                </c:pt>
                <c:pt idx="1">
                  <c:v>Feb</c:v>
                </c:pt>
                <c:pt idx="2">
                  <c:v>Mar</c:v>
                </c:pt>
              </c:strCache>
            </c:strRef>
          </c:cat>
          <c:val>
            <c:numRef>
              <c:f>Pivot!$E$165:$E$168</c:f>
              <c:numCache>
                <c:formatCode>General</c:formatCode>
                <c:ptCount val="3"/>
                <c:pt idx="0">
                  <c:v>1640</c:v>
                </c:pt>
                <c:pt idx="1">
                  <c:v>2014</c:v>
                </c:pt>
                <c:pt idx="2">
                  <c:v>1818</c:v>
                </c:pt>
              </c:numCache>
            </c:numRef>
          </c:val>
          <c:extLst>
            <c:ext xmlns:c16="http://schemas.microsoft.com/office/drawing/2014/chart" uri="{C3380CC4-5D6E-409C-BE32-E72D297353CC}">
              <c16:uniqueId val="{00000004-D384-460B-9963-59419C2D141E}"/>
            </c:ext>
          </c:extLst>
        </c:ser>
        <c:ser>
          <c:idx val="4"/>
          <c:order val="4"/>
          <c:tx>
            <c:strRef>
              <c:f>Pivot!$F$163:$F$164</c:f>
              <c:strCache>
                <c:ptCount val="1"/>
                <c:pt idx="0">
                  <c:v>5</c:v>
                </c:pt>
              </c:strCache>
            </c:strRef>
          </c:tx>
          <c:spPr>
            <a:solidFill>
              <a:schemeClr val="accent2">
                <a:tint val="54000"/>
              </a:schemeClr>
            </a:solidFill>
            <a:ln>
              <a:noFill/>
            </a:ln>
            <a:effectLst/>
          </c:spPr>
          <c:invertIfNegative val="0"/>
          <c:cat>
            <c:strRef>
              <c:f>Pivot!$A$165:$A$168</c:f>
              <c:strCache>
                <c:ptCount val="3"/>
                <c:pt idx="0">
                  <c:v>Jan</c:v>
                </c:pt>
                <c:pt idx="1">
                  <c:v>Feb</c:v>
                </c:pt>
                <c:pt idx="2">
                  <c:v>Mar</c:v>
                </c:pt>
              </c:strCache>
            </c:strRef>
          </c:cat>
          <c:val>
            <c:numRef>
              <c:f>Pivot!$F$165:$F$168</c:f>
              <c:numCache>
                <c:formatCode>General</c:formatCode>
                <c:ptCount val="3"/>
                <c:pt idx="0">
                  <c:v>1214</c:v>
                </c:pt>
                <c:pt idx="1">
                  <c:v>1139</c:v>
                </c:pt>
                <c:pt idx="2">
                  <c:v>1071</c:v>
                </c:pt>
              </c:numCache>
            </c:numRef>
          </c:val>
          <c:extLst>
            <c:ext xmlns:c16="http://schemas.microsoft.com/office/drawing/2014/chart" uri="{C3380CC4-5D6E-409C-BE32-E72D297353CC}">
              <c16:uniqueId val="{00000005-D384-460B-9963-59419C2D141E}"/>
            </c:ext>
          </c:extLst>
        </c:ser>
        <c:dLbls>
          <c:showLegendKey val="0"/>
          <c:showVal val="0"/>
          <c:showCatName val="0"/>
          <c:showSerName val="0"/>
          <c:showPercent val="0"/>
          <c:showBubbleSize val="0"/>
        </c:dLbls>
        <c:gapWidth val="219"/>
        <c:overlap val="-27"/>
        <c:axId val="1732940351"/>
        <c:axId val="1732940831"/>
      </c:barChart>
      <c:catAx>
        <c:axId val="173294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40831"/>
        <c:crosses val="autoZero"/>
        <c:auto val="1"/>
        <c:lblAlgn val="ctr"/>
        <c:lblOffset val="100"/>
        <c:noMultiLvlLbl val="0"/>
      </c:catAx>
      <c:valAx>
        <c:axId val="17329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[ecommerce-dashboard.xlsx]Pivot!PivotLine</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in the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BF2-4D9B-813B-7C860EB36DA3}"/>
            </c:ext>
          </c:extLst>
        </c:ser>
        <c:dLbls>
          <c:showLegendKey val="0"/>
          <c:showVal val="0"/>
          <c:showCatName val="0"/>
          <c:showSerName val="0"/>
          <c:showPercent val="0"/>
          <c:showBubbleSize val="0"/>
        </c:dLbls>
        <c:marker val="1"/>
        <c:smooth val="0"/>
        <c:axId val="1574555519"/>
        <c:axId val="1574553599"/>
      </c:lineChart>
      <c:lineChart>
        <c:grouping val="standard"/>
        <c:varyColors val="0"/>
        <c:ser>
          <c:idx val="1"/>
          <c:order val="1"/>
          <c:tx>
            <c:strRef>
              <c:f>Pivot!$C$9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Pivot!$C$10:$C$23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BF2-4D9B-813B-7C860EB36DA3}"/>
            </c:ext>
          </c:extLst>
        </c:ser>
        <c:dLbls>
          <c:showLegendKey val="0"/>
          <c:showVal val="0"/>
          <c:showCatName val="0"/>
          <c:showSerName val="0"/>
          <c:showPercent val="0"/>
          <c:showBubbleSize val="0"/>
        </c:dLbls>
        <c:marker val="1"/>
        <c:smooth val="0"/>
        <c:axId val="1574572799"/>
        <c:axId val="1574564639"/>
      </c:lineChart>
      <c:catAx>
        <c:axId val="15745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53599"/>
        <c:crosses val="autoZero"/>
        <c:auto val="1"/>
        <c:lblAlgn val="ctr"/>
        <c:lblOffset val="100"/>
        <c:noMultiLvlLbl val="0"/>
      </c:catAx>
      <c:valAx>
        <c:axId val="157455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55519"/>
        <c:crosses val="autoZero"/>
        <c:crossBetween val="between"/>
      </c:valAx>
      <c:valAx>
        <c:axId val="157456463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72799"/>
        <c:crosses val="max"/>
        <c:crossBetween val="between"/>
      </c:valAx>
      <c:catAx>
        <c:axId val="1574572799"/>
        <c:scaling>
          <c:orientation val="minMax"/>
        </c:scaling>
        <c:delete val="1"/>
        <c:axPos val="b"/>
        <c:numFmt formatCode="General" sourceLinked="1"/>
        <c:majorTickMark val="out"/>
        <c:minorTickMark val="none"/>
        <c:tickLblPos val="nextTo"/>
        <c:crossAx val="1574564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5">
                <c:v>0</c:v>
              </c:pt>
              <c:pt idx="16">
                <c:v>24</c:v>
              </c:pt>
              <c:pt idx="17">
                <c:v>6</c:v>
              </c:pt>
              <c:pt idx="18">
                <c:v>6</c:v>
              </c:pt>
              <c:pt idx="19">
                <c:v>0</c:v>
              </c:pt>
            </c:numLit>
          </c:val>
          <c:extLst>
            <c:ext xmlns:c16="http://schemas.microsoft.com/office/drawing/2014/chart" uri="{C3380CC4-5D6E-409C-BE32-E72D297353CC}">
              <c16:uniqueId val="{00000000-D0C6-41BD-81F5-88E15F8F49A3}"/>
            </c:ext>
          </c:extLst>
        </c:ser>
        <c:ser>
          <c:idx val="1"/>
          <c:order val="1"/>
          <c:tx>
            <c:v>MALE</c:v>
          </c:tx>
          <c:spPr>
            <a:solidFill>
              <a:schemeClr val="accent2"/>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Lit>
          </c:val>
          <c:extLst>
            <c:ext xmlns:c16="http://schemas.microsoft.com/office/drawing/2014/chart" uri="{C3380CC4-5D6E-409C-BE32-E72D297353CC}">
              <c16:uniqueId val="{00000001-D0C6-41BD-81F5-88E15F8F49A3}"/>
            </c:ext>
          </c:extLst>
        </c:ser>
        <c:ser>
          <c:idx val="2"/>
          <c:order val="2"/>
          <c:tx>
            <c:v>Series3</c:v>
          </c:tx>
          <c:spPr>
            <a:solidFill>
              <a:schemeClr val="accent3"/>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90</c:v>
              </c:pt>
              <c:pt idx="1">
                <c:v>18</c:v>
              </c:pt>
              <c:pt idx="2">
                <c:v>29</c:v>
              </c:pt>
              <c:pt idx="3">
                <c:v>22</c:v>
              </c:pt>
              <c:pt idx="4">
                <c:v>8</c:v>
              </c:pt>
              <c:pt idx="5">
                <c:v>0</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Lit>
          </c:val>
          <c:extLst>
            <c:ext xmlns:c16="http://schemas.microsoft.com/office/drawing/2014/chart" uri="{C3380CC4-5D6E-409C-BE32-E72D297353CC}">
              <c16:uniqueId val="{00000002-D0C6-41BD-81F5-88E15F8F49A3}"/>
            </c:ext>
          </c:extLst>
        </c:ser>
        <c:ser>
          <c:idx val="3"/>
          <c:order val="3"/>
          <c:tx>
            <c:v>UNKNOWN</c:v>
          </c:tx>
          <c:spPr>
            <a:solidFill>
              <a:schemeClr val="accent4"/>
            </a:solidFill>
            <a:ln>
              <a:no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Lit>
          </c:val>
          <c:extLst>
            <c:ext xmlns:c16="http://schemas.microsoft.com/office/drawing/2014/chart" uri="{C3380CC4-5D6E-409C-BE32-E72D297353CC}">
              <c16:uniqueId val="{00000003-D0C6-41BD-81F5-88E15F8F49A3}"/>
            </c:ext>
          </c:extLst>
        </c:ser>
        <c:dLbls>
          <c:showLegendKey val="0"/>
          <c:showVal val="0"/>
          <c:showCatName val="0"/>
          <c:showSerName val="0"/>
          <c:showPercent val="0"/>
          <c:showBubbleSize val="0"/>
        </c:dLbls>
        <c:gapWidth val="50"/>
        <c:overlap val="100"/>
        <c:axId val="664986559"/>
        <c:axId val="664991359"/>
      </c:barChart>
      <c:catAx>
        <c:axId val="66498655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91359"/>
        <c:crosses val="autoZero"/>
        <c:auto val="1"/>
        <c:lblAlgn val="ctr"/>
        <c:lblOffset val="100"/>
        <c:noMultiLvlLbl val="0"/>
      </c:catAx>
      <c:valAx>
        <c:axId val="66499135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5.2777777777777778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4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3888888888888888E-2"/>
              <c:y val="-0.111111111111111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0555555555555556"/>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3888888888888888E-2"/>
              <c:y val="-0.111111111111111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44444444444444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2777777777777778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555555555555556"/>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1"/>
          </a:solidFill>
          <a:ln w="19050">
            <a:solidFill>
              <a:schemeClr val="lt1"/>
            </a:solidFill>
          </a:ln>
          <a:effectLst/>
        </c:spPr>
        <c:dLbl>
          <c:idx val="0"/>
          <c:layout>
            <c:manualLayout>
              <c:x val="7.2187928669410151E-2"/>
              <c:y val="-0.11749680715197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639944698270743"/>
                  <c:h val="0.14667943805874836"/>
                </c:manualLayout>
              </c15:layout>
            </c:ext>
          </c:extLst>
        </c:dLbl>
      </c:pivotFmt>
      <c:pivotFmt>
        <c:idx val="12"/>
        <c:spPr>
          <a:solidFill>
            <a:schemeClr val="accent2"/>
          </a:solidFill>
          <a:ln w="19050">
            <a:solidFill>
              <a:schemeClr val="lt1"/>
            </a:solidFill>
          </a:ln>
          <a:effectLst/>
        </c:spPr>
        <c:dLbl>
          <c:idx val="0"/>
          <c:layout>
            <c:manualLayout>
              <c:x val="6.9444444444444448E-2"/>
              <c:y val="-8.33333333333333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3"/>
          </a:solidFill>
          <a:ln w="19050">
            <a:solidFill>
              <a:schemeClr val="lt1"/>
            </a:solidFill>
          </a:ln>
          <a:effectLst/>
        </c:spPr>
        <c:dLbl>
          <c:idx val="0"/>
          <c:layout>
            <c:manualLayout>
              <c:x val="0.13165294924554186"/>
              <c:y val="0.1018518518518516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834019204389576"/>
                  <c:h val="0.15945083014048531"/>
                </c:manualLayout>
              </c15:layout>
            </c:ext>
          </c:extLst>
        </c:dLbl>
      </c:pivotFmt>
      <c:pivotFmt>
        <c:idx val="14"/>
        <c:spPr>
          <a:solidFill>
            <a:schemeClr val="accent4"/>
          </a:solidFill>
          <a:ln w="19050">
            <a:solidFill>
              <a:schemeClr val="lt1"/>
            </a:solidFill>
          </a:ln>
          <a:effectLst/>
        </c:spPr>
        <c:dLbl>
          <c:idx val="0"/>
          <c:layout>
            <c:manualLayout>
              <c:x val="-1.9821673525377226E-2"/>
              <c:y val="-0.106481481481481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6272263806530358"/>
                  <c:h val="0.15945083014048531"/>
                </c:manualLayout>
              </c15:layout>
            </c:ext>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53-473F-8C29-7D11733DE6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53-473F-8C29-7D11733DE6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53-473F-8C29-7D11733DE6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53-473F-8C29-7D11733DE6B9}"/>
              </c:ext>
            </c:extLst>
          </c:dPt>
          <c:dLbls>
            <c:dLbl>
              <c:idx val="0"/>
              <c:layout>
                <c:manualLayout>
                  <c:x val="7.2187928669410151E-2"/>
                  <c:y val="-0.1174968071519796"/>
                </c:manualLayout>
              </c:layout>
              <c:showLegendKey val="0"/>
              <c:showVal val="0"/>
              <c:showCatName val="1"/>
              <c:showSerName val="0"/>
              <c:showPercent val="0"/>
              <c:showBubbleSize val="0"/>
              <c:extLst>
                <c:ext xmlns:c15="http://schemas.microsoft.com/office/drawing/2012/chart" uri="{CE6537A1-D6FC-4f65-9D91-7224C49458BB}">
                  <c15:layout>
                    <c:manualLayout>
                      <c:w val="0.29639944698270743"/>
                      <c:h val="0.14667943805874836"/>
                    </c:manualLayout>
                  </c15:layout>
                </c:ext>
                <c:ext xmlns:c16="http://schemas.microsoft.com/office/drawing/2014/chart" uri="{C3380CC4-5D6E-409C-BE32-E72D297353CC}">
                  <c16:uniqueId val="{00000001-B753-473F-8C29-7D11733DE6B9}"/>
                </c:ext>
              </c:extLst>
            </c:dLbl>
            <c:dLbl>
              <c:idx val="1"/>
              <c:layout>
                <c:manualLayout>
                  <c:x val="6.9444444444444448E-2"/>
                  <c:y val="-8.3333333333333329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53-473F-8C29-7D11733DE6B9}"/>
                </c:ext>
              </c:extLst>
            </c:dLbl>
            <c:dLbl>
              <c:idx val="2"/>
              <c:layout>
                <c:manualLayout>
                  <c:x val="0.13165294924554186"/>
                  <c:y val="0.10185185185185168"/>
                </c:manualLayout>
              </c:layout>
              <c:showLegendKey val="0"/>
              <c:showVal val="0"/>
              <c:showCatName val="1"/>
              <c:showSerName val="0"/>
              <c:showPercent val="0"/>
              <c:showBubbleSize val="0"/>
              <c:extLst>
                <c:ext xmlns:c15="http://schemas.microsoft.com/office/drawing/2012/chart" uri="{CE6537A1-D6FC-4f65-9D91-7224C49458BB}">
                  <c15:layout>
                    <c:manualLayout>
                      <c:w val="0.33834019204389576"/>
                      <c:h val="0.15945083014048531"/>
                    </c:manualLayout>
                  </c15:layout>
                </c:ext>
                <c:ext xmlns:c16="http://schemas.microsoft.com/office/drawing/2014/chart" uri="{C3380CC4-5D6E-409C-BE32-E72D297353CC}">
                  <c16:uniqueId val="{00000005-B753-473F-8C29-7D11733DE6B9}"/>
                </c:ext>
              </c:extLst>
            </c:dLbl>
            <c:dLbl>
              <c:idx val="3"/>
              <c:layout>
                <c:manualLayout>
                  <c:x val="-1.9821673525377226E-2"/>
                  <c:y val="-0.10648148148148157"/>
                </c:manualLayout>
              </c:layout>
              <c:showLegendKey val="0"/>
              <c:showVal val="0"/>
              <c:showCatName val="1"/>
              <c:showSerName val="0"/>
              <c:showPercent val="0"/>
              <c:showBubbleSize val="0"/>
              <c:extLst>
                <c:ext xmlns:c15="http://schemas.microsoft.com/office/drawing/2012/chart" uri="{CE6537A1-D6FC-4f65-9D91-7224C49458BB}">
                  <c15:layout>
                    <c:manualLayout>
                      <c:w val="0.36272263806530358"/>
                      <c:h val="0.15945083014048531"/>
                    </c:manualLayout>
                  </c15:layout>
                </c:ext>
                <c:ext xmlns:c16="http://schemas.microsoft.com/office/drawing/2014/chart" uri="{C3380CC4-5D6E-409C-BE32-E72D297353CC}">
                  <c16:uniqueId val="{00000007-B753-473F-8C29-7D11733DE6B9}"/>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Lit>
              <c:ptCount val="4"/>
              <c:pt idx="0">
                <c:v>FEMALE</c:v>
              </c:pt>
              <c:pt idx="1">
                <c:v>MALE</c:v>
              </c:pt>
              <c:pt idx="2">
                <c:v>OTHERS</c:v>
              </c:pt>
              <c:pt idx="3">
                <c:v>UNKNOWN</c:v>
              </c:pt>
            </c:strLit>
          </c:cat>
          <c:val>
            <c:numLit>
              <c:formatCode>General</c:formatCode>
              <c:ptCount val="4"/>
              <c:pt idx="0">
                <c:v>135</c:v>
              </c:pt>
              <c:pt idx="1">
                <c:v>959</c:v>
              </c:pt>
              <c:pt idx="2">
                <c:v>75</c:v>
              </c:pt>
              <c:pt idx="3">
                <c:v>1231</c:v>
              </c:pt>
            </c:numLit>
          </c:val>
          <c:extLst>
            <c:ext xmlns:c16="http://schemas.microsoft.com/office/drawing/2014/chart" uri="{C3380CC4-5D6E-409C-BE32-E72D297353CC}">
              <c16:uniqueId val="{00000008-B753-473F-8C29-7D11733DE6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[ecommerce-dashboard.xlsx]Pivot!PivotShip</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Pivot!$A$131:$A$144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Pivot!$B$131:$B$144</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extLst>
            <c:ext xmlns:c16="http://schemas.microsoft.com/office/drawing/2014/chart" uri="{C3380CC4-5D6E-409C-BE32-E72D297353CC}">
              <c16:uniqueId val="{00000000-A1C6-4C6C-A7A9-A5867FCFD689}"/>
            </c:ext>
          </c:extLst>
        </c:ser>
        <c:dLbls>
          <c:showLegendKey val="0"/>
          <c:showVal val="0"/>
          <c:showCatName val="0"/>
          <c:showSerName val="0"/>
          <c:showPercent val="0"/>
          <c:showBubbleSize val="0"/>
        </c:dLbls>
        <c:gapWidth val="70"/>
        <c:overlap val="-27"/>
        <c:axId val="312655071"/>
        <c:axId val="312655551"/>
      </c:barChart>
      <c:catAx>
        <c:axId val="3126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55551"/>
        <c:crosses val="autoZero"/>
        <c:auto val="1"/>
        <c:lblAlgn val="ctr"/>
        <c:lblOffset val="100"/>
        <c:noMultiLvlLbl val="0"/>
      </c:catAx>
      <c:valAx>
        <c:axId val="31265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5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[ecommerce-dashboard.xlsx]Pivot!PivotBar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Pivot!$B$150</c:f>
              <c:strCache>
                <c:ptCount val="1"/>
                <c:pt idx="0">
                  <c:v>Total</c:v>
                </c:pt>
              </c:strCache>
            </c:strRef>
          </c:tx>
          <c:spPr>
            <a:solidFill>
              <a:schemeClr val="accent2"/>
            </a:solidFill>
            <a:ln>
              <a:noFill/>
            </a:ln>
            <a:effectLst/>
          </c:spPr>
          <c:invertIfNegative val="0"/>
          <c:cat>
            <c:strRef>
              <c:f>Pivot!$A$151:$A$158</c:f>
              <c:strCache>
                <c:ptCount val="7"/>
                <c:pt idx="0">
                  <c:v>1</c:v>
                </c:pt>
                <c:pt idx="1">
                  <c:v>2</c:v>
                </c:pt>
                <c:pt idx="2">
                  <c:v>3</c:v>
                </c:pt>
                <c:pt idx="3">
                  <c:v>5</c:v>
                </c:pt>
                <c:pt idx="4">
                  <c:v>4</c:v>
                </c:pt>
                <c:pt idx="5">
                  <c:v>6 to 10</c:v>
                </c:pt>
                <c:pt idx="6">
                  <c:v>More than 10</c:v>
                </c:pt>
              </c:strCache>
            </c:strRef>
          </c:cat>
          <c:val>
            <c:numRef>
              <c:f>Pivot!$B$151:$B$158</c:f>
              <c:numCache>
                <c:formatCode>General</c:formatCode>
                <c:ptCount val="7"/>
                <c:pt idx="0">
                  <c:v>397</c:v>
                </c:pt>
                <c:pt idx="1">
                  <c:v>540</c:v>
                </c:pt>
                <c:pt idx="2">
                  <c:v>375</c:v>
                </c:pt>
                <c:pt idx="3">
                  <c:v>195</c:v>
                </c:pt>
                <c:pt idx="4">
                  <c:v>246</c:v>
                </c:pt>
                <c:pt idx="5">
                  <c:v>414</c:v>
                </c:pt>
                <c:pt idx="6">
                  <c:v>233</c:v>
                </c:pt>
              </c:numCache>
            </c:numRef>
          </c:val>
          <c:extLst>
            <c:ext xmlns:c16="http://schemas.microsoft.com/office/drawing/2014/chart" uri="{C3380CC4-5D6E-409C-BE32-E72D297353CC}">
              <c16:uniqueId val="{00000000-43EE-4C60-B28A-E7B846CE558C}"/>
            </c:ext>
          </c:extLst>
        </c:ser>
        <c:dLbls>
          <c:showLegendKey val="0"/>
          <c:showVal val="0"/>
          <c:showCatName val="0"/>
          <c:showSerName val="0"/>
          <c:showPercent val="0"/>
          <c:showBubbleSize val="0"/>
        </c:dLbls>
        <c:gapWidth val="219"/>
        <c:overlap val="-27"/>
        <c:axId val="210022463"/>
        <c:axId val="210014783"/>
      </c:barChart>
      <c:catAx>
        <c:axId val="21002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4783"/>
        <c:crosses val="autoZero"/>
        <c:auto val="1"/>
        <c:lblAlgn val="ctr"/>
        <c:lblOffset val="100"/>
        <c:noMultiLvlLbl val="0"/>
      </c:catAx>
      <c:valAx>
        <c:axId val="21001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[ecommerce-dashboard.xlsx]Pivot!PivotRating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Pivot!$B$163:$B$164</c:f>
              <c:strCache>
                <c:ptCount val="1"/>
                <c:pt idx="0">
                  <c:v>1</c:v>
                </c:pt>
              </c:strCache>
            </c:strRef>
          </c:tx>
          <c:spPr>
            <a:solidFill>
              <a:schemeClr val="accent2">
                <a:shade val="53000"/>
              </a:schemeClr>
            </a:solidFill>
            <a:ln>
              <a:noFill/>
            </a:ln>
            <a:effectLst/>
          </c:spPr>
          <c:invertIfNegative val="0"/>
          <c:cat>
            <c:strRef>
              <c:f>Pivot!$A$165:$A$168</c:f>
              <c:strCache>
                <c:ptCount val="3"/>
                <c:pt idx="0">
                  <c:v>Jan</c:v>
                </c:pt>
                <c:pt idx="1">
                  <c:v>Feb</c:v>
                </c:pt>
                <c:pt idx="2">
                  <c:v>Mar</c:v>
                </c:pt>
              </c:strCache>
            </c:strRef>
          </c:cat>
          <c:val>
            <c:numRef>
              <c:f>Pivot!$B$165:$B$168</c:f>
              <c:numCache>
                <c:formatCode>General</c:formatCode>
                <c:ptCount val="3"/>
                <c:pt idx="0">
                  <c:v>48</c:v>
                </c:pt>
                <c:pt idx="1">
                  <c:v>26</c:v>
                </c:pt>
                <c:pt idx="2">
                  <c:v>27</c:v>
                </c:pt>
              </c:numCache>
            </c:numRef>
          </c:val>
          <c:extLst>
            <c:ext xmlns:c16="http://schemas.microsoft.com/office/drawing/2014/chart" uri="{C3380CC4-5D6E-409C-BE32-E72D297353CC}">
              <c16:uniqueId val="{00000000-C70F-4A0A-A201-D9910DB537A7}"/>
            </c:ext>
          </c:extLst>
        </c:ser>
        <c:ser>
          <c:idx val="1"/>
          <c:order val="1"/>
          <c:tx>
            <c:strRef>
              <c:f>Pivot!$C$163:$C$164</c:f>
              <c:strCache>
                <c:ptCount val="1"/>
                <c:pt idx="0">
                  <c:v>2</c:v>
                </c:pt>
              </c:strCache>
            </c:strRef>
          </c:tx>
          <c:spPr>
            <a:solidFill>
              <a:schemeClr val="accent2">
                <a:shade val="76000"/>
              </a:schemeClr>
            </a:solidFill>
            <a:ln>
              <a:noFill/>
            </a:ln>
            <a:effectLst/>
          </c:spPr>
          <c:invertIfNegative val="0"/>
          <c:cat>
            <c:strRef>
              <c:f>Pivot!$A$165:$A$168</c:f>
              <c:strCache>
                <c:ptCount val="3"/>
                <c:pt idx="0">
                  <c:v>Jan</c:v>
                </c:pt>
                <c:pt idx="1">
                  <c:v>Feb</c:v>
                </c:pt>
                <c:pt idx="2">
                  <c:v>Mar</c:v>
                </c:pt>
              </c:strCache>
            </c:strRef>
          </c:cat>
          <c:val>
            <c:numRef>
              <c:f>Pivot!$C$165:$C$168</c:f>
              <c:numCache>
                <c:formatCode>General</c:formatCode>
                <c:ptCount val="3"/>
                <c:pt idx="0">
                  <c:v>188</c:v>
                </c:pt>
                <c:pt idx="1">
                  <c:v>266</c:v>
                </c:pt>
                <c:pt idx="2">
                  <c:v>170</c:v>
                </c:pt>
              </c:numCache>
            </c:numRef>
          </c:val>
          <c:extLst>
            <c:ext xmlns:c16="http://schemas.microsoft.com/office/drawing/2014/chart" uri="{C3380CC4-5D6E-409C-BE32-E72D297353CC}">
              <c16:uniqueId val="{00000001-C70F-4A0A-A201-D9910DB537A7}"/>
            </c:ext>
          </c:extLst>
        </c:ser>
        <c:ser>
          <c:idx val="2"/>
          <c:order val="2"/>
          <c:tx>
            <c:strRef>
              <c:f>Pivot!$D$163:$D$164</c:f>
              <c:strCache>
                <c:ptCount val="1"/>
                <c:pt idx="0">
                  <c:v>3</c:v>
                </c:pt>
              </c:strCache>
            </c:strRef>
          </c:tx>
          <c:spPr>
            <a:solidFill>
              <a:schemeClr val="accent2"/>
            </a:solidFill>
            <a:ln>
              <a:noFill/>
            </a:ln>
            <a:effectLst/>
          </c:spPr>
          <c:invertIfNegative val="0"/>
          <c:cat>
            <c:strRef>
              <c:f>Pivot!$A$165:$A$168</c:f>
              <c:strCache>
                <c:ptCount val="3"/>
                <c:pt idx="0">
                  <c:v>Jan</c:v>
                </c:pt>
                <c:pt idx="1">
                  <c:v>Feb</c:v>
                </c:pt>
                <c:pt idx="2">
                  <c:v>Mar</c:v>
                </c:pt>
              </c:strCache>
            </c:strRef>
          </c:cat>
          <c:val>
            <c:numRef>
              <c:f>Pivot!$D$165:$D$168</c:f>
              <c:numCache>
                <c:formatCode>General</c:formatCode>
                <c:ptCount val="3"/>
                <c:pt idx="0">
                  <c:v>775</c:v>
                </c:pt>
                <c:pt idx="1">
                  <c:v>881</c:v>
                </c:pt>
                <c:pt idx="2">
                  <c:v>720</c:v>
                </c:pt>
              </c:numCache>
            </c:numRef>
          </c:val>
          <c:extLst>
            <c:ext xmlns:c16="http://schemas.microsoft.com/office/drawing/2014/chart" uri="{C3380CC4-5D6E-409C-BE32-E72D297353CC}">
              <c16:uniqueId val="{00000002-C70F-4A0A-A201-D9910DB537A7}"/>
            </c:ext>
          </c:extLst>
        </c:ser>
        <c:ser>
          <c:idx val="3"/>
          <c:order val="3"/>
          <c:tx>
            <c:strRef>
              <c:f>Pivot!$E$163:$E$164</c:f>
              <c:strCache>
                <c:ptCount val="1"/>
                <c:pt idx="0">
                  <c:v>4</c:v>
                </c:pt>
              </c:strCache>
            </c:strRef>
          </c:tx>
          <c:spPr>
            <a:solidFill>
              <a:schemeClr val="accent2">
                <a:tint val="77000"/>
              </a:schemeClr>
            </a:solidFill>
            <a:ln>
              <a:noFill/>
            </a:ln>
            <a:effectLst/>
          </c:spPr>
          <c:invertIfNegative val="0"/>
          <c:cat>
            <c:strRef>
              <c:f>Pivot!$A$165:$A$168</c:f>
              <c:strCache>
                <c:ptCount val="3"/>
                <c:pt idx="0">
                  <c:v>Jan</c:v>
                </c:pt>
                <c:pt idx="1">
                  <c:v>Feb</c:v>
                </c:pt>
                <c:pt idx="2">
                  <c:v>Mar</c:v>
                </c:pt>
              </c:strCache>
            </c:strRef>
          </c:cat>
          <c:val>
            <c:numRef>
              <c:f>Pivot!$E$165:$E$168</c:f>
              <c:numCache>
                <c:formatCode>General</c:formatCode>
                <c:ptCount val="3"/>
                <c:pt idx="0">
                  <c:v>1640</c:v>
                </c:pt>
                <c:pt idx="1">
                  <c:v>2014</c:v>
                </c:pt>
                <c:pt idx="2">
                  <c:v>1818</c:v>
                </c:pt>
              </c:numCache>
            </c:numRef>
          </c:val>
          <c:extLst>
            <c:ext xmlns:c16="http://schemas.microsoft.com/office/drawing/2014/chart" uri="{C3380CC4-5D6E-409C-BE32-E72D297353CC}">
              <c16:uniqueId val="{00000004-C39F-4015-BE5E-700A062B150E}"/>
            </c:ext>
          </c:extLst>
        </c:ser>
        <c:ser>
          <c:idx val="4"/>
          <c:order val="4"/>
          <c:tx>
            <c:strRef>
              <c:f>Pivot!$F$163:$F$164</c:f>
              <c:strCache>
                <c:ptCount val="1"/>
                <c:pt idx="0">
                  <c:v>5</c:v>
                </c:pt>
              </c:strCache>
            </c:strRef>
          </c:tx>
          <c:spPr>
            <a:solidFill>
              <a:schemeClr val="accent2">
                <a:tint val="54000"/>
              </a:schemeClr>
            </a:solidFill>
            <a:ln>
              <a:noFill/>
            </a:ln>
            <a:effectLst/>
          </c:spPr>
          <c:invertIfNegative val="0"/>
          <c:cat>
            <c:strRef>
              <c:f>Pivot!$A$165:$A$168</c:f>
              <c:strCache>
                <c:ptCount val="3"/>
                <c:pt idx="0">
                  <c:v>Jan</c:v>
                </c:pt>
                <c:pt idx="1">
                  <c:v>Feb</c:v>
                </c:pt>
                <c:pt idx="2">
                  <c:v>Mar</c:v>
                </c:pt>
              </c:strCache>
            </c:strRef>
          </c:cat>
          <c:val>
            <c:numRef>
              <c:f>Pivot!$F$165:$F$168</c:f>
              <c:numCache>
                <c:formatCode>General</c:formatCode>
                <c:ptCount val="3"/>
                <c:pt idx="0">
                  <c:v>1214</c:v>
                </c:pt>
                <c:pt idx="1">
                  <c:v>1139</c:v>
                </c:pt>
                <c:pt idx="2">
                  <c:v>1071</c:v>
                </c:pt>
              </c:numCache>
            </c:numRef>
          </c:val>
          <c:extLst>
            <c:ext xmlns:c16="http://schemas.microsoft.com/office/drawing/2014/chart" uri="{C3380CC4-5D6E-409C-BE32-E72D297353CC}">
              <c16:uniqueId val="{00000005-C39F-4015-BE5E-700A062B150E}"/>
            </c:ext>
          </c:extLst>
        </c:ser>
        <c:dLbls>
          <c:showLegendKey val="0"/>
          <c:showVal val="0"/>
          <c:showCatName val="0"/>
          <c:showSerName val="0"/>
          <c:showPercent val="0"/>
          <c:showBubbleSize val="0"/>
        </c:dLbls>
        <c:gapWidth val="219"/>
        <c:overlap val="-27"/>
        <c:axId val="1732940351"/>
        <c:axId val="1732940831"/>
      </c:barChart>
      <c:catAx>
        <c:axId val="173294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40831"/>
        <c:crosses val="autoZero"/>
        <c:auto val="1"/>
        <c:lblAlgn val="ctr"/>
        <c:lblOffset val="100"/>
        <c:noMultiLvlLbl val="0"/>
      </c:catAx>
      <c:valAx>
        <c:axId val="17329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1A3C9E3-CE7A-4A6C-89D8-1B214FEAEAE4}">
          <cx:tx>
            <cx:txData>
              <cx:f>_xlchart.v5.2</cx:f>
              <cx:v>Sum of Quantity</cx:v>
            </cx:txData>
          </cx:tx>
          <cx:dataId val="0"/>
          <cx:layoutPr>
            <cx:geography cultureLanguage="en-US" cultureRegion="IN" attribution="Powered by Bing">
              <cx:geoCache provider="{E9337A44-BEBE-4D9F-B70C-5C5E7DAFC167}">
                <cx:binary>3H1Zj9s6Eu5fCfJ85cNFEsnBnAFGku1270uWyXkRnG5HojZKovZff8vdSSaW3Rk1cIx7YSdB0C0V
XdJH1l7kPx+7fzwmm3X5rkuTTP/jsfvzfVhV+T/++EM/hpt0rWepfCyVVt+q2aNK/1DfvsnHzR9P
5bqVWfAHQdj84zFcl9Wme/+vf8JowUZdqsd1JVV2V2/K/n6j66TSv7l28NK7R1Vn1ZY8gJH+fP8x
k9Xm6d1Dta42+v279VMqM0/qqpSPFf7zvfvv9+82WSWr/kOfb/58v3P9/bs/xt+xx8+7BFiu6ieg
pWxGLNO2BRbo+YPfv0tUFny/bGAsZjZmhGETi+fPj+++XqdA764T+U2VmVz/+P0hnp45Wj89lRut
4XGe/9+l3XmGl0f8/UuRWrkvb81V2wf5+PD85H/sovKvf45+Ae9i9JtfgBu/uP91aR+ZX97GzhOR
P99fbMrs3TPL/W9eFXkrftaMMmoiwPBV/BDmAlPCfnztC3JT+TmM3Q71zqO+gLfzq/HTnxiyl0q/
+3cWbJKNPgLA5gxZhFBuWi/rj48XKJ8Rk1KTYfZjAb8IhxeY38jcYbQPDbKD8GHQD5GdGPb/TkAM
Pq2PgDubcWRywm36gjss3x3BTMiMMGIyG0TGr4C/gaPDYI8HmAD0mOTUQE7XT6o8AsZ8BuvWRoSb
Y3DRjDFCBEUvahm08g7Gkxl6BeJd+ikI71KcGMAP6+ydJzeBOgLGZMawxSxB9gQ3m2Gbcszpd8m+
i/GbeDoM8/4QE5DeJzoxsL1N8u5agRH/94Nt4hmzTFi5YHE9f/aEtjkjyKQgtEdS+01MHUZ7f4gJ
aO8TnRja2+l8rtZFLY9hfbOZgLVtEpO8WN90LMfxjAhimkJYh4yzNzJ3GPdDg0xA/hDZCWJ/BT70
McQ6m5kcVrr4Ibz3VjqYZ4RjU5gj3b1975OZeh3x3SEm4r1LdHpoV2CIJ+vyOOb41scCg+y7ZB9r
c4JnnAPelmnt6fG3sPUq4nuDTMN8j+zEUL9ST+rxKJrcFEhYAtsvmtweS3Y0A7lvmRBZ2cV7MkOH
kd4ln4DxLsGJoTtP3nmqBO/r70eY8hkjwrbId/9aiH2EmRDY5NZLaG0kx9/E2mGs94eYgPc+0Ylh
vkrzTSnXyREgB18M/DDLpPiwuYatmWVbloXBKd9+RpC/hbPDiO+NMAHwPZoTw/t6nR9DYUNYVEB8
DJNXsN7Gz7iAyDkfuWJT+TmM8A71BHR37j8xZF0FWa0ttnprhWyzNX9r6oPPtpkNQSmI6e1nzyQj
M0xBfDMMV34Nn72Vr8NIHxxlAuIH6U4M+S/112MgLmaQhgTxLF5SHQhW7m5MHM8szmxu2iOjbCo/
h5HeoZ6A8M79J4bsw/qxhJRHVh3HJLOYLWDNopcVvedU4xk41PAHMp4H9PPbeDuM9YExJiB+gOrk
cM/eOZDCXpdPMjsG9uYMI04hGk6foUXjUBqGSgVQ14KBnf6rMN/GU97G2GvAHxxnEvgHKU9wAizK
dfYo9aP6AcGBYg+QyW+tQGEcIQbRk5dFv+eHkRmEV7HF6QHkf3I0xb54Hfj9YSbivk94YrDfy2ZT
avl0hGwJpTPBkUXp99KVrbu1o85hyVPGEMHjNf8mpg6jvj/EBMT3iU4M7QeVqXQ9ZS29cZHzmUmF
DQ7Zd8ttLN3BG4M0qW1CUP2HbHmpX5nO0WGcR/QTQB5RnBjCV+tS5kofA+PnlAhh4FC/aPC95Sxm
wjYZhznwIul3kX4LZ4ex3hthAtp7NCeG9wJqLo9ir9kzRjEEy6BC9Aeau8JbzBi34A8eJUSmc3QY
5RH9BIxHFCeG8NUmgxTIcYzyrcMN6DL2PYg2XtKEQj0DsykV4Kr9apW/ianDOO8PMQHqfaITQxuK
wjOpk3V9jFpTNrNNxKhlf/fBDsRXENpWm7JRRO1tXB3G+8AYEwA/QHVqiNdVtTlG9SEsbkoIgQj5
iwDfi5/imU0sDNUrkPz8dXE/TOboFaR36aegvEtxYgh/gpdbH6VqAcrNOERV0GshcujugCJTjGw0
WtBvYOkwxuMBJoA8JjkxlK/WT5ujgGyDWU2oBZb3YbuboBmyIagKHTy763g6R4cxHtFPgHhEcWII
30B4LDhOoIRtCxG4vTXG4DOW1BAo4RbUitvjjPV0jg4jPKKfgPCI4sQQvoKM5qbc9EeIkNgzm9mM
UfRahAS0MQRIbDpu+HgLT4dR3hthAs57NCeG9FmdflXJU/X3I21Cbwe3wawiezVlkAOxMZQYQmHC
82dXXL+FpcNA740wAeg9mhMD+jZZPx7FvOYzDskqENvfO2v3Qp54hti2FIm8gD1SztP5Ooz1iH4C
0iOKE8P5QepY9qo+woKGrg8K+Snyo1XvQAbLBqfaAitsd0W/hafDKO+NMAHnPZoTQ9rZOot/P8xU
zCxMnnutXxbs2AqDEnAL+rAxONS7ME9m6DDGu+QTAN4lODF0Id8P1WTOuvx6nEJ/c5tt5jZI7p9i
eRzXtgWnJqbfK8N3sX4ze4cxPzzMBOwPE57YHPhQQ5fHMZa4PYPyEwz5q9d3wyBi2+dhjST5dI4O
4z2inwD0iOLEEN6m5Y7UsMdMaNlD36v+92Q4mVlQhATLfxQQm8zQYXx3ySfAu0twauhuykfY4Mb9
20uCoWAE2cLm9mtdWgja9qB8FLODBYRXk/l6BeVd+ikw71KcGM4fNuH6GOUk4EJDi4YNG6O8oqS3
xf2gosEYe6lFGBlk0/k6jPOIfgLOI4oTw/khXOtjlPgDzhaDkBenrxV8kxnsoIA4+F4jM2wyR4cR
Hj3RBIRHFKeGsErWRykjgTYdSDHybeDz+bNXYUBmyBTcQuYY4ckcvYLwLv0UhHcpTg3hZ7/KLevh
CHoZUlQMxDH60U17wOyCXXCgDHgv1fwmrl5Ben+MKWjvU50Y4hewqeExqkjAiSKwB4r5Y8eycThs
u6UgXIMwyahoaDJDh3HeJZ8A8S7BiaH77ySX2TF8ZD6DFh3LxtD7/vwZr2WAl8HHAs29q5Onc3QY
3xH9BIBHFCeG8AdwkWET0L9fXG8zVLCEwU3+HuLa68Mis23nLITAxob1dJYOYzx+pgkgj0lODOXL
dXyMVSzArKKwZSTsaPL82Sv1A4ixhW1op9xdxVP5OYzvDvUEcHfuPzFkP9QqqdOjyGjYl4pDtxyU
7r1iVSPwmwjGnOzFMafzdBjhvaeagPIezYkh/UUlx2iZBE3MGLTDIqiw38lRQCYKLjAM1QS7i3cq
I4eh3aGeAOvO/ScG6fWmWT8do4sGKjJtwqBm83s136GyASxgn6mxqzSdo8Pojugn4DuiODGEIZMG
jcVgYR1j6dpQsAeBDyjbPJxlhBVsIoKgTGikft/G1WGkD4wxAe0DVCeI+GUt9bubr1Lnx4Ddgnps
YsPyhVDH9rMX7UIzCGsjKCEYVQNtX/4bWXsd+0MDTZwAh0hPbBbcglG2PkZcBNofqc1gw7HvSYs9
rwqBV8Vhzzk66pibztFhzEf0E6AeUZwYwnBoxRq62o8CMp9hqMbHEAB7WeF7fhWscNjeBLJTI8H+
JqYO47w/xASo94lODO1lssmOUUoA5WAEYiBiv4wX9p0SHEMfHYD/a9/UZE4Ow7tLPgHaXYITg3WV
9cfQ0GCYIQLAgl/18hm5Vni7wIVtQxHQLrhT+TmM7Q71BGh37j8xZKG14BjIbjONFlTe/9hmZqx+
t71wkIOCvcVGttdUfg4ju0M9Admd+08MWReCS0fZegKg2+pUSEq8onUhiwx9kDb4zburdjpHh9Ed
0U/Ad0RxYgg/yE15lCZH0LY2gpglfync2tseDJoc4SIU7kKpwPYzCnxN5+swziP6CTiPKE4M58u1
1psjWFWQeoIdHsEL+r6HzCGcbbhsQonm7kqeztFhhEf0ExAeUfy/QPj1s+x+Hvrnrav1/Pm0wF+O
s/v91ecXBGcbjki/27KH93x7sXNXT3++h61CKKxBsH1/7gO3HWjHEn7uUPiB3y7RBkrJ/nxvQHUA
tEfBwYTb7nXYpcAGd6ndfL8E0hwOJGTQXsWoTbcn62RwoEv45/ttYSCY5JC2hEoSKOK1QZVrVW8v
QfsGgcM6hAArgMJ+JsL8eYbjrUr6QGU/X8r3n99ldXqrZFbpLTUIlPzlvi2/FrJgUxSYhBy4Y5Bo
2fKXP67vtzUV8A7+T5N32sqCkN7ozkTu0DWrtjcLD0eUOqVdLBQltVNW/WdGBurpwHwsKb+sRB97
FvLTRdT55rIqw4uqVcjJUHZlRKh0+JDXXqeb6660tWeKEo5BVPXXXmRfQhnM+zS5j81omfXVOaHk
vsjzyImKvnZETrRTYnKZpbHlBAb7qGOh3ESk1dnQ+h8HFX22gpA5Sg2da3fpjRXQG9zac1Goc5YU
q9ga6Gpo/NKtY8LdJuyWQTzMCc+/mXl4X7eBdZ4F/jLvy69c9o7Qw6dOp8qJSUocSuLYsc0082ju
u6hTtcvy8FOL67/irjHdMA7PSK0yJ9esdNKQlk7VVJkrc3odp8V5EpvUacvyW9GE2OkMVblDwm9k
WuZuGxQ3kdXk511axYta+oHHUhU7cVgGrkCBf61thbxQ1IPtFObwjZMmvm5M9jhIeLm5n4Z3xO+R
E+pyE1ZIXEUqWVnCII5P8n4ZZprfaNmlc8ZaQK0OTacMqsCN0651oiALnSbC9lI2XeDYZWOdmR0L
7lBA8XLIo8ApApk4aUYDh7atcmRKgznqk+iM0i6ZG1KSZRQmg0sH06F2Z8EUUOos9X3s4a5Hy8TU
cmGi3F+YLU3mZVqRZaVoOs9odImz4mKoops4w6uqDwZPpvybP0S2E7HUnBtaUq+v+2iOfdYv4zpI
5igKObwI3M9ZWYhlFdmBE3VlvRREN04alLmHJJb3Wcv4ss6tcA59itEZQr7vNU1CHU2pcZdAINNJ
B3jSorNtR9rIXvDAqNyob7nTqyCfG2mNnTiO5bmldbsMSPihJ/q2rlE2Dw3eO6rKoc9Wa0eGtuX0
hTDPc6GpE+BeOv2wfUWSZH+12oo+ZqHEjg5FdtbXme+QLlBO4mf4xuJh4IT54DsS3rtDS6M+4y2T
Ttiabe2xWj7FqWQOipg/b4LUOENVtKitZO77mXDa1M6dVGSlQ02aOtyMaseIWu6VeZq4dhPZdwPu
7qKuvrfbNJ5rEmHpJiS5jqEf/MyKi29VNnytcBMuqhzXTiKS8krijrq0s72kLOyV3bf+pW2wZsn9
zLwnRv1JClUZHqrqzl+GpMPYkXX+2AJXbDBixw+jxNE8LJaG7D9go8WLLgxsFzXiPEuJPW/bHjui
qVdgVPdOzobBrZJgLrPMODdMdCYp/djoqHJ1EH5Ii+icRdlty7RrGOxKW3/5jFzUym7+08fJprWr
y840DCcrceTxtm4va82yMyGqyJGljJ0gRpcEvi3Mw4umMb8VMScuHpIr1CLsNIJ9GnhmOjIauFPp
9EkzHTh+mq5U1N9BmuOytmTqqrChXpZytYwlbpyuCS2v61XnNJIxp4TbM01yl2lqLfoeIMRFelMb
wUPS+X8hVX/JTRAPHOWNx+LyQrZ43cW2PdcxDdxGq2CBa7zEkjpFbJbzJtLEYQNOnUQ3V5q3n2vo
w/SYYd6KjnFHpSxbccuCOysUOXWcNG5eqYs6QmcJbzK3Mf1FhFRxI0XVO1ESIcfohFd1sK+ab8eO
1UjPD4n9Jfbr1JqrrLvKSPWoTLbKaus/iZ9aK5liJyqHrx1uSqdW3Rk8dLIICaqdFA9eYrPrMAIp
I5ThkLJ1Y2Eop1H4zCjss74tvIjIyDFkewca6TIhmrq+TL5WXJyxjF7jIF8aZrEM2tADTN0uwfCz
tQ65lK6W9Tct2W1StNW8Uf2qSs1wXrPENcz4zk99A3RB7Sa0vwir5C4Vhodl+CGJg3loZ2esTjKv
TuWHRFZuTezSyXzNnLQfznyOL2XicqQ7RwviUoI2fp31Dugxo19qTjS/lWmcuIGd3SNZlvNnk+C7
zbKjdB8VKA0ZhN/PTv75478+qBT+Pp/Z+99fbo9e/u9Py43abhWpxzdtv+fnXf8993dri/w8BHhk
4byc3/yK+fPbi6/bRr9aORYsg9+ZRRCLHZ2m/GxrPFP9sIswbBKwPQ0WwRlyFuyvBwP+tIugd3Gb
NoZNvDic6Lw9eeqHXQQWE97GPtD2GGc4ng5Mph92EYGOJxgQLBkOdfZwVPBb7CK8ZxYJ6LmAsiEb
CropHIwG/vavZlE1UJUXdd1dZy0V86b1w9xRNGKxG7O2ubMNqz+PuiaL5wjF1ZdKmc3H2NRdAXMs
Kz7/8vYOWGnbgtJdIw02nITAAJQjmtvDVLflEL9yY2Z9Houwbq5JkeFrsGZArdRM2aHbNZUSTtOa
9RfW5IYE0cSrwi2iMgapNmhmuhAqyp5EVaEbGCOsPZIk+ONgGRwve9vyN7g3cLf4PccEaiT3OIaN
QMABAmMVdoJAI44lCwHbvrqmnRUEnt0NyccGCuTpomK9spym70B+S+ZzZ2D2VofGiC7TpuyxVzaq
ego7rbErjdzyNBxc3jhVGqLGYaUFSz5QUXgb1+I81SLUHuQwxCcdFhdx0lrdXGrDvpJl2KTL3z/V
Pgyw0QGCs1fg4EM48/L5oX+xlVlvBK2RJ/o6q3zxSQUcE8eMCUyNPKu727YrxUPu4+Q/v//a7Vz7
1USHNi+w0RmFyBD0+xG6ZeuXr7VQF5i5DrLrjA/4GsdhfZ3p0pXcDz/9/ptg+ex9k4B8PQO/FNrL
+Gie5ZnZD0UZqmueI3NdtKpMln7Fe+LEeThHRb21/VDPlRtRq03/16TZTordB4WJAlFrE7JKsIHI
+OuhuUKGQZbKa1bE1jqNamsdJ1serCHVc7tUyukRQL9sQU0Q0JyKbapE6FUrevOys2mJXNpGKnYj
lqUfaZkT6oW87ze50YCpaAwpcy2hzPLMovZQO79/e9sdQcf8s63YgAAdnGgMofddoJBdW5ll+cYV
rv10LcsKLAtsxBWYG7Tvs+C8DWX8NeAiv+yGIlzYyuykS3DDvlVgFim3DwPmmipqNrKk7Kmx8pCd
/55J09oDGaxDmETbmljYFdNiUJnz63SySy5RGVb0KjKL3Bfcq0Q4LLuqo2JRNXXtll2B7pq0t2on
DEPmljhbalLmYN7nxI2TIr3PEyvtHJa0wec2StWq11Xl5FaRf7R1zD2/yHy3VlEkHVnRqHX8SGfX
bW7om8IY6DwIsABLYfCz1CVNmJ5ZdpXckyi4DfqMdk5Ss+K68osPFUkN6tkNgRcpewKywayHwUEt
jy6T0OJffFSb56ENOn4Iuka4LQpNsN6SXq4MXvap0/Z88HBrGd4QdY+5LqqHGhksBGu6YgtfF/XK
9An5UIS4jZc+M7B0hjD2v0LFadk4MiuMv+qUpV6ea7ICQzpf4UIkT7LJwRrPaRo/SOF3zGkKMzgv
/bJ2e3gPS2wScVO0aTc327JYYAxW1TyBQ17A/GsDXrgNCf15qmnp1bm4CX0jQB7GqjoDVUNaN0Pg
GPGKJf/pUhRekFLkDxatrGUtIoMstJ0Oa26rcq5RFw2LJubBwug6tCY6ab/pIM8tdyAV2G5ZQJpg
0VWRgsXRtvM+aGq+KJUfeklF07MMbnVAAZUKXnTaMCfSUWS4zG+Zw5TVDY5ZJb5LKyNLl6UdzwOz
7tFdS7HpSV2ixIlgJlULWrVCLzvKuks7HobEv6vbokpTp5dJn5VPIdifZPiiW6NjaeiIEkS5eiR9
GlXgRNdVXefouoqrNO7OhSyGZSPqyl+lpZS5E5FEPSBm0FXUU1q7NWDggx+GRAdwpZx7me+DPqyS
uC3mdtwGyC2TCvs3YYFsps7inoHd2XeJqC5tXVGYUa2vsG7dGnThwjbCyL9pYOnYgVvwnMOEo7FO
F1kiS+EkBSgvf9410nYNH/ZcAB/QR5kJZwaB6+CCx976izZhSTrXPlgFC4ippIPLBwskZkZis3bT
sDQSp9F9oG+1NNJ0rgLJvxl1wyTykCLVUpq85teW4Qf+eUZZxazIzTpdDP2Zhk1ZynCeQ+Qjnfu6
GYqFKHUmF31ip/0Z0jrNXYv0iXRZZ/XJspSFNFyAlXw28nTAHuxfH6ce/EPGDbgHhoZXnmWfozQV
6YqWokrmcVjZ90NdUbqIDEXwRdiG4Fw5LCRhtfTLJs8eQBnT8ygYCAQwcuBgrsCZG+Ycd4NwedTn
7VXKe5jaBiyV0vMxrs9LalmJF/g0ACc3awBOyTTYJ9kQ0WGTxLDluseBgdSjfRoWK4ykeRZIFtsu
RGMK6kklfW+ofYgIGW2Zi9vIbyPTpbKIBifNo8G4QH5iLnDuBxawK1g+x304qBW44m0wj4UZts72
PgcLKTKYPgEt3K6VxuBUnTT+KiFN2xuOhHVErvGQyUE6vDEN+qFPWlJf27nolZeJorqy6gxUUqBZ
DAQipfC2fBni7MuAkyw8LyC21S10aw3yAldB9cGMiLW2OvBhHI5h8i7qrGN0ru1BAvM1jlIvoUWs
Xd76c4hmFF+StgXLIgqi5kFbdvs1L0N61rA28Oc8thBxMu7DOFaiom6RlQ2+Hrqcmne6svAHXBlw
R2sbmrsV7lk3b0gaybOyI6RdZSzQ5EYaTHzKULGdnFFU6CVLdKhvu96suIuKFrAJ2wwYUxqE7gVo
MPGJcgSzOwUpWXrQm96pVaWFT26jso7je8IzYa46M2rrq6qrtsZn2He3VmzY3Vy1KXw1BOwG8KRJ
Wg1LFLPtw29Zb0E+AV95iq9NK4OnqAsLXlUYq3hwRdzA0smTIJZ3WclgyZc1WAUBXAOZSqosvCmw
2ZeZQ/MQAdxt2dVXqRHmEKlBddEtOtiojs77piBboQGLyYUnAgHSCby1k6ss/eTD2YrnvJGSOzyE
KInb9YG9bjMKbHRl1N/TqkP6IgAzN7pQeRZHDxy0xVJnCF8XIii+QA2kXTihGUpyrngg6gs/VEHj
9SUrWjBwe7rMCbxWF7Gif4yT2Lrtao3UWYH6Jv7c2mmgIYxmpN/6QWxliCyS0AM/gNO5JH2oF7md
is/GNuCatnlQOMwEMdeXbXgvVaUvRBpHEI0jJQlA7MHZ3k4TEvGpjIwmmCckg2UyGD4VKzNTuNik
IJD7c6j9gLXRbiX2PLIMeKNdMzRzUDJtcYFLcKNdXyRVA5qWNghM7yL6qxSN+GD0YKafD6Iq8VOl
s15DfACzZiVbAkN1KQ4H12wDO1jlAEvrGrGwF4Nqmuqq61nyEDW6cDjTZ2baQRByaG0AJ0ZYD8s8
iZW6yuzOvDQqZKp5WGRpcxH0bR663NJp+AEsEf2ERAZiBEQnxAHjULfaEW3DC9ACffGQBAWW/8Fq
oLxxBrDA+o95RQ0Bg2m/nIfMiINzw8/br2GAjMZNmLbjlRQI33Xa8IdlWRdazuVQwySVpIrobRcn
g3UNAbgkcYq8QfaViUOzc3uwbvS8DXNAreWZDJxyYCnIDq2TOUTWutJrEsLL5cALmP2x2QXM6yGG
q10/13bxubV6/CEKS5hroOnEJ5jrqb7NRIZBwJJcRAuehnbrdPUXwuuWb8OUDftokaxovdYKKvPK
9CEEdF/4WpSg3GFGz3NJAU1wHPruUtIqVpeszEN6SzqU2Cu/UwKeq+uM4Coujbz1Uu2DzABrrK6u
EogFgRsp4mChQx6HXtshtOoLE9Z9D8kK6Zh+yK6erdK/O0ZyJR9LpdW3ahwk+TVG8q//zyMpP6up
/psw2jr8r2eZLpV+92/YkTXZ6F+jMC8Jqufm0++5Jtg/FTpSIY2zte8pMmHUHzEVqPeBPho4M/Ql
04SBie8xFWpCxpkSqAQSkJhGz5GY/8ZUYAMZDBtUWHAIJYc2qrfEVA54RwjSTbCJ8/b0Urbt9vjV
74hgwfM2E9F1nc4Hi4GCWJr/K1ICZcj7Phjk7QjsfgPnGnNqjZzlAiKOiTVY0XWlIpl4iiPIeoiy
564PqZ15RMFzVqACLlnAwQ7Iw8hNBv8CFml0j/LwLpF8SaxQXrYI1R7ChuViXidOgiVyURCuWpKu
6ia8ko04y2t8iYb2DrTkVTGoi66kN7IMzlEU907aBJCtQIVYsD4JHb+2ehAm4gl3YIuAHQYXqxh8
naT+Jq2udHRmQ6C29GshHB/oO2YIB8Ikvn3egue69NuOeZUBMfRIkBAEwqAKB1QzGLrE/ATCnYEa
t+hf4DJpx4BQwlKiOLTnYV3kyVz1RfxZKdx7PY9RfxaI3I9WmGYV6ArKr+1e992S1XHkdDYPQ6ei
OeWfBlJAZqAgYFAag20tsWrBdXVzaMljhVtbadX7Duos44YXxLiC8XNPS8ilGV19oYxsyZUpPbv2
S0eEJPFKxuUZTcz4vO4Km9/C92n6l9UHTF+QXjXKC3p6ryDM092GOMohJdWLC1Ha7LwJ6uDLttXg
c8Mgj8KTfngwq6w2V1zFVulCnLEdznjY+JB8aLX4qBSnjp2ZkN6pkemRvAvdpI5btwiCftUQq7kW
dc3mFbzzywyCZWsdBhdd3wTw2jlxRAFOJEnxHNKw0gmSpr0fmvo8gozYXCgs7oPewk4VhdLjvQgX
Kk+R28WmBzFxjxXyM0+t5hKgazy7kMO8rDLiaWIjp0s6eQ4BiHDOqn5YVlWC3Uz45rUOG9KAW6OX
Nm3OWjNjXtgRfRfkEZ5zI72SWXLVgNm9AGVxZyprxcM68nw7OYMMcOwFFN1q0T5UoI4/Bk3HvykE
Ye8o9uy2s78pWXtWqr3YL/AHZNSLwK4WBlHxXBjpIuYasmvg+Wg7f9K6gqYS2EM46j8VkeGVtDkX
XboAAQLGx7A0O3TV88ajojrDFrkcytALyuYrsuqrIjUWSYvntCzAXusfs3pwAvUIvjr2WjuhS8h+
ARNW88Wy5ddksM05hA30eQWeMRj4wyUkYlc0IFc2JJHbOv4C0SiIAtLEyzib+429CAg/q9HwpfP1
PEh9iAWhwqF+kDsYrLJVZEFwERwAD7Lft/CM91ZdZ14nh8CTpa9ds0HyKjTt2A19clclmb4CV/Ui
IB1M5govk6JDTuxDjo6n/YWARYQUc4govY7zS57TS7NTn42hcmOLPdQkuMuK/JLBzw0Rl2nd3IVC
nicknxM/khDu6BzSx5BdCdvcrSGO5QYluo6N+C8V47/yOD2HXT8vVMLPoxrfDS32wGbzVJJcWWbk
FknRXwyMnUF8NwQTtX8sYnZWC8sTZQ7Jw66DDGR7ztXQr4ohy84rrp7S3meOEWaJ1weQG7E6Gi8L
kS99jY37oTeK/xG8w9vq/nH0axu9g8IljuAqH8n3sMep7u1EXqsiJvMmEZC1baBMIE2b5LJKaeux
xl8EKkzhqOhhg/NC3xVFjD7wgSeO6rr7uowuUed7sWCfUVcti9D+BtZ2ALEXyMoEkY8cu0cLNcCc
TnzpKt/SbhtxiFAUDfEYr84apb6WbKhdGelPhIXFvMEVdTGKIQebuW3h6m6F85g5lZ8tcVQuidnc
JkQtdcqe+iR9qFl0Dp7mxaCT86ImlyxXl1wTyD634AHqXp6RLvy/7J1bc524Fq1/kbrERSBegXW3
vZbtJI79QiWOIyRAgABx+fVnkN7pTpx0Ul3nvJyqrtqV2tVJTLhJc475jQFLOiuTICP1NgfGIBgN
0452d/48OEmTB0eaR3ivPUGvst7pMVab3ippfegsQ4tnwT37ctFJGwRzMsni2jbLTd6pQzGyHRt7
mUqADJkuonjgRsbVKu70asNEc4X6EDK4RhNXjid4QPbY10yMf+WCfa3b1sqcC1XeATsRsdW2TANN
ZOI1NM6MuUivs2m1RDo2Rr31gXrEYpIfIhqeoGjJeMIDys2yRdv9qWjpzmkqFvvOo6rmtPKCBGji
fsQ65HX1pzoKr2gLUV5E5FPmBEuMJicOBgzairJyDqRZ17L+SobBe5eWW4pmJ+akeJwr10lUNxcb
Pxdnb2FOqnMXhWWj+B7N6vCu9rzxJGVrrks0j4dvqqfLn4Lyt9DL69nECrxgTsRD5FNjYrR+8+e7
QmQxUOotZOZskKmnjgaEy6+PsAq9fwvZ+JFeiFQBDyYYQF6IWXwlsUJb1oxHQtyUAWTO4CwHuZfN
nRkBuZgykeBqIrX59TERCfabo67n/c2cYGiKvvE9Qq7prO+Z63oxROd77IrvhY/aA0CCSnrOHoLM
O9hBF4mFKIi3YqwT6so60WZ5X5PwSvYggdBpbctodD7y3A/Tiqq3Aa/GVBTzKSz9xyCDSueUXjDg
adL1ZlhCveENATnUWJ6Eep4PA2SOj7VW/dZfKjSyUj6XeFY3EOTyFCvwnPY8oIkdovvBL5cd1sO3
g7DuoRLeJZ/7TyqM9tiU3nTGbIO1x3MZOAuak42iqFDKUevdvAw0aavAT83I8jiU052b61RLaZPW
E0HMovmEh/5z22Fk0DXyYHyCabX/ZlrUg0+LI+trE2NcJmKZeWWieqnxELNDsaiTi6m2njM39UpK
scEUWGXpg6Uz/rCqrjnYIm3Gjc0WPMF0U/QCYqDXpLWqeNwsCmxGmV03LU8EC/dOHUATFNN9HigU
cA15M/RFE3teD/Iq7HekkVXsDPWHQLTXhla3bVMlBnJK3DlHyyyJLfMwS+dYER3nrZ7z/ZRNU2rN
cNME2CNVww7G+C+8pQNm72BnmL8TjX8VjmXym8ftd8/4Woh/87SNPkoMd8HTpq70RdyQbXtq3427
5cD2wRXH1pM8u2PMjs41sJjTrw++onE/ecFCD59uc90Qs+DvD+40OdcF98l1k7JYX7lJsx2m2DmR
h3BLN/TtmSRXD3ajuth+wC/lzXxF46PcZjceEJrf/Gu+3/j+fNs9ivISZDbaKPZq1jnTsfIdR+U3
Ob00Xgnh6cHY/a/P+Ps168djvJrMLaYaSJ6XOTbXF2H20Xz765//03OAZSAMOSRufFDp+wtaTcFC
KCTjm5pc2gjvA0PN+ecK9f+6yf//r31fnRb/3L5/sS/92Lh/sWf8r3EHJMqxVawsqB/9iTV8bdwR
AbluUvgfvhjvhh4ejK+NewSPzxoqB6MeBEbPx299bdyjNRcDPwu/OPjmML618ZUG+d/++CtI1Am+
f/oAiUJV4JgwAE3nyMNaP93x7bsOhS90p4FHZ7cyaD+ZszQ749VC33oEO/eG5VCQniIs7rceSLfg
WFmpk8VGV4GKroyOiqSpio8FCM25xRDE7cV29v06xwCtnLDGectBT167GWx0W/Dx86pBJaHhH6LB
3RHAQqKTqWDtjgIi4oCJsHjuCeAiZkCvhaq+Emq8LVb+KOgNGpFgjw/y7qlCB+kBVQLDBnEf8BKo
2xt3oal0MRkbV75pQDM8r8STJs5HBQRqai1WUR6+B8J1QK3w3ACW4hFk1RXDCx4jo9J+ZaoaVr9A
WEiLlbZSK3dVrAQW1sTtpKjGZNPZt4C07EprjSu3VXjEbJqV5YIUg7PVhKZdvTxUgL4w28e0cuXA
zEqEuUDDch+8pTeIrVmpMceIcKMAknEAZUVX2LRdGTMHsFkF6GxQ6j7X9RkKq4xJlbFttRJqIHIP
48qsRRJ1mUMqltLRtyDKwLY1K+U2YBaFui66agDAVaw4dKKF/u+qT3NleUxXWg7Twne89J3YE/MH
7Q4jEF3nc++SowPUbuznK7Wyd9lK4dkvPN5K5tUrozevtN4EbG8BvlcRPb7H/Tz17GmpIKLKLrFl
CexLHWmQ3Y8rB2hGiAKYhUZtfkVcNI8bLdftGdprnQex0xdRezNhQz2UHfaAhNl8Jzk3U1yJNrp2
Q5Ifw6K2OxdDhAOuS0M3PpXNLs94dJ+BgIuScnYmHbf1Euwtm/1dY5hfpuUwiZ0z13mJCtug9oc4
88DrgO/JUtD3X1aB/5bD9bsB/7wc/vVpyx+XxC8fHPi6JLqQJcGAcATwBSjU8TP/WhL9P7DbYsaE
l5VijI76/Ssfhk+EAV8BaOYFMKhj1fx7SeR/4JO+SIkC1eKyf7McsuBV9cEgY660PAeJxtZvo7wq
78OyF7xyBTk7pEyGXjoJ9ZeXbIQqVbAyiAePbqFAbM0sqnKHJ8/cRaYit25oCdjqsNbhnRARSsQI
A8F06BzzkHEZzs+gsvo4yLMqdl08lQrLR9y5fMG4ETx2hxCdHRZqg7HUyIFsSAz3GhJtwcu/101B
n0VbVknrTs22zsMS2gmwDCtsEPc1/qwXtj7YUdc8Abd3YleUPF1yy46jDo9KGYDrnjlgMUehPJDd
4A4fq8mlQBsMqu1Iu3HpWshQ8zV8CFFchWyTR7694ZquwzwlNhHcazszz3k86wYGggK1KwZiwF+i
YsOFu8RuZprNAjHA7afuAizEi2ECKB8tZ/O94zxIIORxR4ob2Yo8xbJ0q5Ye4z3XuZ6pqmM+yvMo
m+dOjtuAow4HnNBjVMvGTcgn9NzhKI86JCxmnpwOxdzRTcdab1VWzRjzida4ZlD3cFvI2W9hAGAi
ghRbe0kv/WPrdywubD3dLlyFO90BP50sPddNnu+jgogkQ6GEpX5Z5JYQDJyAVeiyAAQx1nuTYelY
3FBHm2nyedrxkBjIPvmCBVg32T1b1yH7ZUnCg60PmN7aXdXV8pgFhF9Lf8Qq3UfZdRHgL+trpx2y
W2fIH0G7sDjXwQdh0JGPXeluQPc8Fhgxb7K++UwjrOI9EVdlloMNV/O5hOaR5HP1OV9YilaoP8+V
PycVEpcS3/AiiTTGtMQGB2Pb8Oiyxkmsmu/B+OI2VdXOz/FLZHjiTGzgsT+PbrSy3yP+Ab07ZJgS
2dH1r4EpkePshYlTe6V3YayDhcKgR6JdPDEvcTHrTxtV9leA+Gk64EE723oMtqZl7Snw6zoldb2r
DRo0iDnDzsvLp9JC7KaTk8xk6o7jVHlxaYWzZX7GbwrMQUkVfXJJhwqjuq2H4W1GvOuuCdHLu6S5
mQGjH8ABKwiPy56wEb6GnpVvqMowROcvPZlOsoTo4YdXc15HmxBYWTvNm6BeQFbwM5/1Fauqp8WS
E3PkVZVzkciBZdeaN12KSSAG+bm4x5RbHNq8PBhl90WLm8TBbDXjSkID44/dgn8Qw4g3MJDnyQJk
nDTqa9LbCmRmmzhBeYh6tuHwI1aGxyMUwaTmnzFow9JSbTFO3DaYSVNA45A96V3TjWneqENo/VM0
TsnooPDIe/S+41S+5SU9u/7wNrAUrgU4Z4JzBh/4MePL56Z17tgyHMKBpx74kwDIV0Lz6cQIiDlr
P+SBt4MtZNMJCKmK8UtX6Dteu58i0EVxVXov8P3c+QRmgaptrud22ZLCTxrcY4g2MvGhdEGdSuxC
Gwh01fMyz2+AzqKpLdQBdpTLUk/nihdxqMQ6htzD/pJgIS2SktHbSk83czsnLnRMnQ0pAK44X8hu
GYp9CKEAoMc+6KYtwWATK5F8DjiIcNLsCTb0Ig83c1OfdUP5RtN65/Qu1JZBXNy+TKUV+4nytKrJ
lbUzqBn5AeIeqNMpAbDx2fXdJDMOjEo0yfryxZQvdTbcTRiOKE73M4VtZNTvWQuZDzYoJEHDq2YS
kGNnKECAYoKtbzGAF9OdP0VvSrW4aVSWXVyPdFf5JokwSY9Xih0Dsi2PMOhHr4UVbot6OMGcNQ34
FMWiyw+eM++nxbynTn9cGL8PguY9z7s7YefbofoEFPilpRSTjMmJAUxuZdBsu2xOC+Fvcjonwstv
gQpd19a7c7Pqs0P62DUUzFwYN5TuSWT3vCNbmmMQz+orMCNvDf6lYRZ1ccCaTUbsqaPDFq/iTRfx
reN1Ry+bccB2IxpcsEl3ad1mOsa34Z7HoX6PH+Vvpwz2nc6HJ0LlbRpi7D/r8UOnu0Rzcir7+rCQ
EGMooHfWFNucYJPIm6xNonwu4iEId25vH6pBP/UtyK4mPACH3jS5nyV1b/aaswOd4NJaWATd1r4f
DX2ojbqribPL/GkrswHXLtoIWF3CnuHpDHfQTG51XZ4aaK2WDPelDPd8ys7Z2m/41dFmznVeQyfR
g9wCirg0GT3gBYubkd8qE115zvTYBNDQDQQVfFLlbWaC2850Z92xOxSLFEhPdz8wltoGnjADplSz
8qpk4lhChInHUlybdaFaathXemB8bNeAZBj6EQjtmHTjWvToU9bot6aZj45bn4jr52eS0eyjADl3
33XADEDyHQ0UqGUcEwvvGCHqE0w2b1VfhQcXgnEchf2jj3GU6xepqoE8SedTUMEn07fvC5MfqOuc
sd7KDTXFzhm7E/gkvJcliPaFOo8565pt5BVvKtODcJiKXeE5F1VwBXiqiXU9elsMdfcZmKzRJRXg
iBo+FpOEYkRrMrtrF4Q+UF8mEexUNh0nPX9qCGZvnfrQGxY32P/wBnTABW24GQaxMTnRCUGFUPTA
42DlSCd4pizhn6xl207SnbDhVtJpo+sG60+nJojVy3aq9Gnuxcn07E3N0HaYHn0OkJJeFgnJR3LU
ro9nvcR7uqBRqQ8l6a8XMj52pnmGoI5RQhclWTldgy4ySUWx/X1T0v5EYn4lp3ypED3HDcCLr+rU
a0mohwHQDFKTM632UhVxXdyRvPiNyrzq1N+ozP87CD7UBYcCSls3+L4rB0NIA+Y75Dzxj2bcjcPj
VH8WXlrZ/DdH+lnBC6ntryO9UszrrJ6dJcORXH6T+6uJy9ksy6EO3qnhSdbBb7TFn149vE2Y4EM4
g9/h+xNzeT3wrKzFxZKnfji14lmXz7++QT87I1TLKJZxmBU3//4QWRBONJqb/AJLpxp3wzxvyhyD
FrGTi4rd/ubXh/vJGcGxgqYFyVn+6h34/nBWB507015e4LuNpdfGg9g1xW/O6XuVZg0MwN3+5iDr
73+jyHYZ6VmQ4SDKwJRqrlSUp/93p7Ge5jdHsP3SWwOT9sU01wEmRUX9Jgvlbw7ySlj+4TRe3Zqm
mIvGVp28TAQSCEsieYFMgAXukWHk1p3dofvNEX92dxBSSJEVHWBk81r8LCSvpIZX8hK2ty0V4A0P
Yfb53186D85SfAYEt8h5PR3NmEcCbo266C7fVAE42DoZy7e/PsjPLh2+MRIxZCJ7Iaw339+feszD
UMpJ4f486uAqR6eosBhE2b0aTr5tgTz/Rjden6lXaxCWuL+P+OpmYaaEGbQzqwudMJ3oHjwUUL8+
px9cFaCW8J0jMAQAmNbMsVeLT1f78FxPTnVRV+bQH7B5XtcJ27Db/I4leiO3PCHbXx/zZw/Et2f1
6pC5pdXUN1ZdbIChk5AY/WNRqPe/PsrPr52PS4KdE9/VfHW3gsUJwh6TtUvWRnCBnDjvf3Pt1qv/
+u74MKQA6oog7b9+sOFYkM7cEXUJ0frO3EW1+SR9EQulfnMuP7ti3x7p1QKHjhhiXxioi8Necn7L
svt2+c3y9vNDQHyGMwlv0hro/e3iI53Ccn8RxUXrM8O0Z5Ju7A7Bb7a6n71CeNj+OsqrW18Ym8Oc
jqPI4rkkGK6TjfG3rACg2l9IsSvZb+7RD6flAtQLKT4qgq0In1N+NT1yoyyEIlyXl97uWvOEIIN2
ufuXD9qrQ0BL+/bKaStwQfO2vIyLhgQs0lmx31y2H57lL4f48oUjFDzQ2b4/hJqmipTotC5d+UyW
QzDK3xzgh0cZB+A+rKIoaTC5/+Jq+mbrwdIZjo5eqgvqvGpgSa4OEuK+jl6+XKv/VFkHJdAvVNkP
n5Ak+aMku/6tvyy7CNsHNYAiw4Xsia+4fyPJ4gtXyHL2ceO/ppx8nVKF62c08LFJHzzEn77cv6ZU
wR9hgM+Ec8Si4GOFyBD+N7IsPor23WqHKRVfP8AE3dcFbgPr8KsFglCsdW7vCCgeFZhLOI96ZJvE
5WxuvL58aAoSN1MfpYucj2E2VztdCfAlwx5Bti8+sW0yRniwvLFL6rA8gZLO4iVS1xr7QeoQcrtC
BVBSOfDuqnxHo3XiIaNo40OPdIYGYyE+3PQDHF6OfQxK9N6q2DDw4zE8409BVKYEhNs78CZ0r4EY
iWrM4LNiFmKoU2+HAeNXVPUIlXAfhzLUaSt90Hue36UjCdBi99lnO3YvXskCqIw02PBaNQlQwPu6
yG8noT8sdHxH1hlbFAiboDtaNgVhRwbDcjoEOa4A2u24C+uPnKnnPDQ3FSzasRlxioPpEBrROBdS
eqlC51o3y0nV0u6UQRhBJ90LU9jpV4eelGWfjLyfkhICyC7wG4vtf3zOOtUlpTNIUPm83C45m9OS
qjcQXS5yWPLYoz080l4ZXo1VdN9VGfgw57bTo9mq0q9SEi2nvIyOeT+dmjqnCWxbHUReexAOMmJE
HTZxwJGoUQ+wbRHZ8TTK6fK2gzVvH9Vs2Ax9qBIB4P+IzkJto2L6ROw8HwUCWRKqqUi7SvGdN3IC
P5V3FbTOofV5s52HLLudia7jvO2jLfRLGsONAVmGwPalB53f1gGBTkkQdRGCtGqfZtosu04gjaNs
chCUAtVw0/hbTI9a+ArtvA90tu1Fu2zCUIcx4K1n2C2rBJZfEZfErzalBsExVdlTGY6HQKCylkUz
I2nHm1OXy62SekopfBkycxCNgE7i6LrtHejEPA1dO6VqYnggh5Dd0M739gaOukQMy/NgqBc33QCG
jPjougsdJUNWh2hIXZsuM78OKz9K+RS8mMbWGxM5cLsjysbr8SgDPJxSYWW5bQTgaYcE9zr3nmxY
qEQC9IshbZf7vpsgX4nxnsxZd4Dl5xkdsYa3MgviQmie0sHiMY7CC9xyE6JcSn+PEeRjpNyPkKd3
Idr/jTt116QiDa4zb2N/1BhKtIgKglgdjiEkN91FwS2dl94/OgvAb1BkDFjltPo7vfGlnPOHCeOU
LbRWJAUhtCWG7Wk7e713CcfqcdQQbDFfceKs64e4ZfM7iBQ98L3RbGD+wkwhKtK67uekKGrM+wY0
0yUcWhKSTmYkZqzQWk6mRQHd8lzFM9Nvljo7m6C5GqaoS5EH9Fn27b3r5Qft8pPl9BZRN6dlyXcu
6M6c5NdUQf+oZ6Ts+CWY5cr4dxSpJqmDn7ttJ5R/HtBkEIuHOhQuLIz4h0di343+iRL6OYBbtcM0
A0uTv6mzaj7WZP7griRS6/QMkk0/xnK2wVEu/ZZPYsoG2KD7/kGL1tbIZGn8JcmJqe+9cejegbcc
gc+6DdKOaGcN8ms4exJFzY59BxPKpRSl4Ie+Jf5TJgI3u1aQWnZVVPTpEGUPcL8EGzYhYMnJkNST
4XnZ+3VhN6NaymTEc7dhDchUPIWPgz/slwJTJbDs+zxA/k0I5+Z+lELHUZ3d8mU5T3pAUlKFcBgi
qksZCLBgDla4qpFYngqMOwahPgsT3poAxikyIncF6ef7EqkwSGgK7wAif6pm+65lUPDxFiPAxrxb
oiEHG7xcIl+ehmJmSdPQD86EdbzW41mN1Z0zOmXS91m3b0si8axlZ2QRuMncY4pBBDQnLUanOOga
NGPn6Q9hbZEz5EI4CgN5JQv10eUjVoPp4xS6W93OTbxwBk0SRmRA4xC7SfGGTlcacHtV7DmskHrZ
AQncEcvPwmFya2f1OfDy41L1oD49RMGUcuOAKoodrmEbtq0Xh9V4Xy3elOYZVj8k0Iit9hrkF819
BXus3PT1tGDaXu1g1nKSaqzH2A3aO6lYhGyf8Cpr2kvdUZm044iekBN4nt0bP3cq6NZky4zpEoyk
3hVBfamr9oYEmU5qGjwobp/VGMB2P5WnsZkQ+jL1kCyXB9YiQ6eR55nVMHL3wbHJsjweVLOFmQpC
Kn8C5yB3Hq1FEpDaiYfKudKe9BIGFFTPUOjAT4dR4cWO678ENjLbccFi6/H+pCrEWVQwgeIPTlsT
mKPfYwYzSAhp0oSHKAixPnswRNkFfgN5j4kDRH3ooS3+G5AEW5N3hYdbTcFamKHusdzYbeWIFxVF
ezbWh5rgd7OGf+6t+tR0zqly891/9SRdk/FWEumf68k/v7Jg9AfzSer6x7py/dt/1ZVrFAxGJuv3
MT2G3uvvuhKOJuQYA9dFJAUcJRRt5de6kuF3wNkiwABFZICm4+9Rv/cH7EXge9FUe/6XQvXf0E8r
hfBNF43yx0FVyxB5j7oXnBV91T5FcLc0gADyGwJzcMps1W/4MnuHwKKdtgae5bhve2huwUzCMEE8
C6vibGw79XZWhdpEC6ZxN+BJ/BQ2AQFrAZ5cezuNvJ4/DMi/Wa0TU7tgHjWVVrkwvYCLwJsOjjiD
xSd02uVAaWREt+sbUub3vMdib1ifKVBLIeq3RSzqTVWX9q3fC+UmJSw+97kDXSt2lcq3DRxAC5za
3X7O4Zss2RC+0w5GIvGsevuuqSI+xR5rljnxNXzMCelanRRYXy5eYZtHD7lcj4Q1SIyDbxbeeFtm
55A6gsclV/J66VrM4qpsqUTCZZAlUe0etKBVUnlquEbgQnUTBtreIRAsx7tYuH4iYQXfDyRjyVC2
/MnV1QTDbx/VCwZEQ4B4CS5ZmCjMKO6IA3dDsvSV3GMpW54rF7EQufDnTiczbZlxt/BDqCaLfW8A
9MOt1++YwQ3pUjkR+9hLAEubwmZ24yvM0/UG6mi2BJvFhee1iefRW5ZoHyHTxcEc0YhdSPsFox6r
nrxId7dR2IWoUBGbgoguH0FlY3MTeV0zXmqCq3nRRFi6ETD1YtXP6qE95C5iQM5cuuqxKDv3zRQN
5YDcvdViNWoqyz394r4ifHVitY5R07EKQQC8BCMXL9Fq6IIXP9uWMofTS66mr261f1XEhGnBZfc+
95zGIFKDREmw9H923P91wqvQ9s8r1/q1px/Xq/XvfF2vQGtCpI5AZEYOIlwZFqW/0CT3D98FgARJ
BwoV/u/f6xUMmO4qXTB0ug6UeghLX2lN/gfkWhpwGAYQmATU8t/0wVgdX61XX1hNtNv4viUsDjBb
fq/F9LAZaNgZp3PTY+Dc8D4NM7NGqeSJcuc+XRxdv5HWKc9uX1X3Hcx5ezTPw37AjCdxIK0JVGU9
qnXvxgt9ukEyA5zOoXrxsJIlPRrPU97ajwi9aN7Uc91tiracLvA7oBetdJhEaDPe+GAaMTWF0UZH
qcUjfAadBwUafv87R4R6N6CT3wiMYNPOcd4ioqLcl6U37FQEtzzDMHfmb0Q7mC1SBVxEk6DOKJFt
mfhB9ERoMO6jkb/Tiyvftv5YX+furLc9Cj7YzfWUOLgEZ+nwDAkAfbRv65qdxeiCw0DexX5sQhRF
woOFU+PFESJ8X+NdXh0oJYbB1dXQIoIyIo8jc2DxQwgoWkuVsLw5InBmU4SCblxhj7BPn2zN3+Fq
Xtd11sA9VoN4CoYq1kX+xKz/YQoQUVKP9YOAAdMwXWKmLZCII+R972Ma6pUkiD3thEkgxL5YbLsn
QfXiCZBEE1DawMAZ0y8a0ajovrc9YWKbZyOyVtnyiButEPLR3Ncku/HL+SNfYK/MygZn4n3K5u5C
Om2vCtCRmJIudNOO/MZDxkC8ZMsNq3FL+2ZK23m8FJX30fXMwzIWz/DGm7jO82NRTucABAf8RWA7
nJXoIaN7AKjM0GhN0CVEhFhLCNdu5QPOCK7qqeKbOvSymDn5YyOWW6TOnlSLsT+ZkL+BcBQ0pFmN
7FaOaMazB6rL+4j8BDYfwh4CBLydJ5LBMYLcISPSkpkuzkP2QrpiKwfuQ8Cct182xixS7Jra8mgV
erSQaWj0qC/hzYGrxVoVZ9TBzspQgc4M+FnrcCygi3tnGAOkwo1OfFE8t27jx9gW542s5mFTqwhO
JazRCLHBRZZddiAzYiMEA5gz4gVPKJ5UTzR3pUZnbiViLzjQCbj46BudZ12Myh9WD7S7hiH6COm+
VepmY7L4FBzbnL3Ms7uXBDxDwdgb02fY+nSfhAVA5jC6AX9WHkZA2HE1opMNYdgHCOOfw36u44mb
HuZbGWwn499bZCUAV2FXVGIYF+k5SijEHlMO8giK9YR2G9JGLXGXeiCv3vsOeThkFKix0R/7o9z1
LbDdJKrMDm4sNOCwTPK2/JiXbMvrBq86XpOmCWFfBArV5N1xCsfmUJCQp6V0nDP8jF6awZpwp8Dr
HbUPtgez2xvbIhpSRcHGnRE1UMKGFnu2QjfdTLezA8BibpsCUSnI4BxcN9vTtvc3HKOe3SyyKKWk
7Q5Nq08ip8B6xOAdu0Asx1Y5ZOfXLd3UbYMQPrQLSzEfCRXvG1J5F1dJAFFKFwci/QhZvc2RgLIQ
E5JTAtU8tuCOPne6WiWjwb8NlXpZgBciUCXyevPf/un8Wfn/cv9cK/9UvoifbKJfPgj1P77XCf6g
3IFbeN0tVyb3700URT+L4I/zMLbimMZCgv5a9HvYeVGDQ1GmoNbW8Ou/NtE1/xGbHiKzMdX/0kX8
m6J/7Ue+K/rhtECKAvewwaGkxXzm+01UomrucuRjXcNMiI0TsTDI8kmGgBXHSqL4Q6asXUJjY8Qd
u2jKNdzoQ52lItfiyhtU+KHIVykNCwdtn1RYOs5ldDpwLMrODSRQq6NzVffLUXhDKQ9tP7tvQB0T
dnA6apAsFJH+XGVedizmgEIlKwrl3MswKv0Tyv2ye460CMZr44Fdv0UC8M4GunzJbCvTWssBZDLi
pNSOKu5so5ZLe9e3c3/wEcxKYihTyMTO6Dw8LT5c/3HY5vTkQtmBztWqKNF6zDf5BELRtKbfwCUh
T6xHzF6WIdob73YWfRg6nUfw3mbjsgt9eNsKnQ+XHHFHMB4+hYV4VkjS3iAor0qagL00ffUSwDkP
Jrlq/U/AlhLEMyRuKxAAtFC27QsyYAIG1551KVJhxwJ2Wh7BNtnLnj84RDZpVIzZ8yQDu4cY4x5y
ksElgOjufeGYEMmBw3RYmqbd+czWibHY3au1HmC8geXOwIkeWWhZedekAcKO4CrMUt5XJz4gZZxl
JryeGVsOhY/IBqQ1lLEf5btQthWStN0C6zdXCP0aEIoFu33Doxfu52TH7bJHzPTZUzLYzdnYx6Sr
kEWcGT8Gv/XeB8aWFiMSYNCu7mrEJyF9a0r63Iw3hTf1wDDzKYlKNqUG37PeKHhnz1QUxT2ELu8O
yRD6RVHfHKtWIrPLgiiEOxYwoFV/mtn+q/rX4fc/V/33H/4Pe2eyXMeRbdlfKXvjCln0zaAG70bE
7XAb9CA5CQMJMPo+PLqvr+VQiaKkzCzT+CknaZY0JEACcD++z95rf8NfC/3/Xx1bfORPsz+zCPKC
w4jD5v4nrUKGuEhiWb/9CR/127FF9sBAw4Czwn99DPg/ji0Xoi0vCVq2XIMnBYmFv3FskY3407GF
GoLuwVfHE4Tnx5/XpEY2Vj0m2+k6F67qmyJttsaYZGGTjTi/52GLtR5s+WyZ42fIjTdNP3s7W3Ud
fo35hYug0wVR5WrkE+yQGaWEocxEb6spiLVhfbUifYWaMQDibntM0zjImyJ6MIRin7nl8f2PRrtt
5rG9IKuEWZw8D8kUTiqoutRzjxDhj2anfc/n5XlKyqNj5te26AJH0/deirbuZbAB05IMbVZo8Qad
pQhm1ex9qFrJhrHoPXPMJ/BmX/JReZ9G6TVllwfLbUGprcu3tkQSz1XlMqijCLQO0vOUTxXkb/vr
kuCOxAGk+YUzcgqR3QjEUj8nZX2n2zHm746TcAE51ophDONuJ+JznB4we9+3vX0m3Pa+FhANq1tb
g5tkdPmlkmyrOXsp0WgjPfqWVNbjaDEyq9n3BXArUX79DhTlwo6GAXyM+6daYeRYBK5FUSQFa72C
1YhntAGCxUMZD1ZAisHc966a+UaRdKFa8Y5aawT8MtVWv48yL1QGWaww8GRITABcirETQsnuLa3Q
gxla4iZbzAxqJttFq8Yb37V5SvRkGv3c1ZrjqnT3NdubjanU6o5R/mCpWgrmY4DgLzJrLyI6Hp4r
Ghjis96v5UvWWwBpCpzf/PONqz8b9oQSnE4hYffvgHj3czJek6HLfaPsB+c8RBDivnQYTd/KonaU
wNMKb5+aWrS1eltDP2Ja6+WLLZZvt0a+4kr5nnN52HWEW/Y8cb/k8s1nydffJN+BSsOLUOdp6FXT
wSix00Jv2RXy9YjC86QI3pNCnYxwjtZqN8rXZmmW7cbp9era8xRt5ZuUQPh5TpaaAHbq+I3pQLSV
b1gogH0IZqvh5Tl+7eVL18n10Sev/d5oHNGruahhyqZMceUTWeWxXCqW5jveIPadfEnrnV08tHZb
kHFwqsdcvriZ2BN/NHkt8xgfBpv7V8hnZ2rtZ7tiZI6UDD+wqHlqLteJ/IevGN3slznJBCvVp5sB
FhwLD1hAw6K+zlHjt8n07C74rY1KpZ8AQkwQm95C3YCpHFCEpi95Nk0wFtsoSN2h2s1NnX/LDavf
F2JqN2vrHvMpgfK+Di5sGm8lQr+ioJF56iTdMzolseGe3XGhlsLxWIUqLORqruAMTjPPancOBh10
iuKuZJO0HGQKtNDwH/38Y4pWscj8+/vov4smrd7/qkPJj/rtLqLpDYcsmXMGYuy/Uhz/oUMRhOMO
4D+IVCSKEcd/v4s8kJQGETbe5fDNuaZ+0qHk3eZQ3ep5pJH/HkL9L6BhC2MH6pMBfZevk6T+H0do
dnVTlhlucVW09nOcIlmvoviqLdah0HgLZgyMfSdCh0tGxei9GvHJW9rL5ILGiqayPZRy7BKx4neO
0LexpW7V2niY0lEPXQdNZoyJ9Q9RwGoJpKg2PKcuiddCK06JRaxiVLp9kfevpT3HG3T2t0gnbspD
MeYxP9/M7vjGfNn6kocVqIYR2stobbSlWkNVKLCqSsYxoHu8zQWHFL/5tj/U1bKt6uVWZ0wMSNDd
CCJOG7B7nxjj5gAa4hs7syMetiZoZ1a+8djn+IqNjZXIdIDj3a6e9gIxgpeAi4MkSZRpUziI6pmd
pf4aN/qG5R470ggG0rBdnDratPAIN/o0P69JfB6c6qaJmpuEvxMbZbSPUtfvpzQPII6VYV7p50jT
H6OlGLYjhJgNQiG+lZ4bDw8MQS5cAqWxcNu7zYtrdQrXO2/smFO2TeMHcjPNFyCgz8tqcvC4/bUx
hn5XaGSoMhxqcwzpsWIV3JBqMoVVs7JHmhAGGCYStuck1p+NliFDpNMV24od5rlYA91a43D1CFvE
nYeDohb3hpK8WUVU7wCOojvmIJDs12F+bbxlazb2a78Y9Y4F8o7mEOICBM/qZ09LqodCLZr8PY3X
t2lO7lc8JaEjGhBNJB1c95XY8SXi5/ugQkfbz4NeX/Uu8q4m8YPjwuFqeiKkM8beD92SbdSEpWjC
2XkxspXwdFqXEz4/52WqYBalZXI25vodfCOB8jr2YFoBSFs3/5xzH+eczD78+3Pu8T15Lf+F70x+
1G/nHIM1FQyI5wAIWPTJ0ocf55zxiyrPP2nkl3AExuH/d85RoWVa4ArwhLmwzuEB/n7Oeb/QuMU+
8aNSgXf+35q5MSP/eeYmPsBukM8F1xAC5p/OuarAFVfwZVxHL8n7gOasJ86qfSYLbgRNN9rA4Gbh
QdpEhOUZVLVNzR4s1GjIGSwCNQ2ck22cLY+uUrc7kZVo0BpNTLVdhhldO/FH68760cBj27VQAoNe
nt5dzXvo2ROZPZvL2lzsQwYi0G51w2+csTtD2hekW/VkOzvaVywO39VIDPtmqi7dRzeQXSO4prO4
Jw1/58gCIYgzFKHklAqpBZJzh/ixIfnbbWJBDGjxGmK/fFXunG+zWCh7TVYVZbK0yKW9SKvARAT9
SDR0qMhD2n2E2VgWHg0GL4VcliBFOineWRYjDbIiydEKbdPw6de0IEDFTpHPwpG28lraUNHSBp4x
nQsnumZ1QqhI53eWcQ6U3utQGMRHY1T3euDgHiPCYADB8C/cjIoKtMA2pFcJJX9NoLp3omO0axO/
S+woVF3lqVn7B6/r9qCD3YPVrreQBxa2rt6L0Trf6q6+tPgTSBAlRyzWt+xbH+MRlXmaoLrm3veu
4YgR3tlCRQhQVWy2DqYDw7b+lE3F0a7Sz3M29P7iKd/n2JWxL2+bFuMXC9tqUzmQrkEG+1k1kECz
+WehsgpeRRInpzQlrpdz6iMO17fukj3nqgMfoqQDoagouVCQRcKyrgD79v2LPfafXXv2a1OvwzxO
2evGjJxN0YLS8vJtqRYW4rGN902dH2tZC0WU2/DTkaOThS8TbqFApTPFbdPzwFG5usNuFd/MZvg0
JvlbGVfmNjK0tybKs20yJ8Ox4ryPFBo94soZt/ZsRP7ack7n/LjuhAoyUY3MsuNibq2gMY0DMU1v
R3KeRw0eq8NMynXJ7MDM+69GIy0pEOdDLetznIr9d1xbRKBVnnb87jc+2OVimxKjJh3vwSL2PJ8H
a7EhRQpQpE5WUOMtr6WBEPsykhyzPaof5qsxRnvdqm6TubrauctknMLVPZRlEE1nj//P3hweGlqH
fHtxWILYL45X0lGGhXIysiWIsnmXaxgH2/S9r4ZPTpGoQT2jFmO99MLe8eCJsrWGA1lt67w567rY
9Ur51MfikLcx5Lum3Gt67wNyvtWLcW+KiUfmJBFsM2nYQl+PoLU/J316sewG9hRJzQMLk5PulZd0
oHZBMUi4wxj16zxfN7bNqzVmuY9TSkvhW6QnXaQnrWw+FxoFNO7Ui42tRU+mY73g6QTakps7UBhe
MNP+xhLLtAJSPKSGYweLkxh2MX13OEYp1FOW8n6yo5c14utrG9FvVkAk68DHwTJgM0iYtsnyQ7R2
7y207lBfWTa1HlcjQWvi5nBRPP5Z/XFIXvTIuBsm2SaXikV2XJlBPoJmASz3HbbDjZnin6JhAtuD
jHdXbaCW6efVNh4j+aTvMCtC6C6UDcrnPYLxZy3KcMca1Z2uzNNGW4lJe2I3rMqyaWGih7TC3XWJ
2EWV/jgmPcshBdxC4x5pg2k3kVPeFS0cSCdVjgnhm9QaKorN5qO9uDzMiwUWvG7JlyB1atWUhwWY
x2BVk/NaTUR32VoFSld8j9foESMHY58mJcE0aXZzkr11DSvGWqvwG01rYDq67leoQjdTrKz7AYMp
bkYUjXa9WwxjCpURASD34ofZSEOhK3uPmc7zypHZpzvCV0y4BRLaCFA0cKvaZJ3t2tpi/ftUdiqm
UvW17ed0N+uJgB0/Xtg6PgE1Pa0OYJ0KR5g5mltJZWBDeQOEYp/1ESWK/BD502qnG8tUd4ujfVu1
5mzFnNmzxwycJSFehPcBV8cwt6/rHIdOym9nvzACG9rn2q2CKGfPM4Orj3KVsC2nKYOqKecjQBCc
3A0ctsINrLwqgKk7j43AImJa7/nAQZkaNgiGwqHTAMlmWNOzZkwgLXrv2nlrvNPN6bng5xbCKwKG
M3U8nXWFPVp311njiHlmrXcMrK/cnV1YpwkteDzlQyZ4++q6igswyNJ3Xd99SnPtwaqQwuvVe9JI
yGZ5AkKec2HTw0pg7G4whc7adtXdr0bkzruOlRJf39cua2sw+/VbH62YqTNtBPBmrBdwlFYgnXTc
eefJ5M8Ak98MHowconFgFpU69ErxBh+IZbDTvhlJdc0yD9y3EuX+gPasNbbYmKzatl7tjTh/BpN+
FBDD/Ja1zOTWJXHIrjY8EClTq7e1iPdUisCK5ZxE7d5MSvWw1FhLUyX7kjvNN2tyfEPCGqIo3zFH
8D2IxgdNAh3wrDpoPc6hGRKu4sokas9o5CMjLVjytP4q3/0xEfhc4iJA/F1nJ6LQD5KEaqQlhpzm
u6tU9EBCm5gIW4dKC/8hhkSRSyRFEyufVAmp6KBVcJrTCXA2AfIkqWkp7IgTlylcAnugmUp6T5eq
oHzYFo68sj4QP//M0R9zNK/x/zBHs3Wjm9YvXv9ViEN+6E/DtM7iTebNWGt9NMv+GKZ16sd1xmEi
HhJD9pNo4PxiuozfMmLhkEqTGbzfRAP7FzZ1hg6ETP0Ax/2tYdrUmPP/sHezXMRmMDEmnSB8NvlF
/JxVoh9HK4rO4sXmdsUGSAyLtol07jxXQHHmWDtMUb6lB/BQlRVWOa9KPpeeI4ljcBWGHe6ei4P7
ikIDSFycTGYJuiBz6hPh//qKU+B5Uc1PdDCpAXcqqqyCq37JH+2OEROJmzdynKMkZw6BCoNXerdK
gFQBqrIOXGtSwfqrlzVJx4BfnRGoVFKAAXYrym+HhF8sL1yzDhBxvASay5M3qknnq1a9F7RyBlgb
LvPSSDbnmvm211sQnhEOxlF9AlUbONkSTvrQ08rE7yq6e7exOuubzd8Thhr/v60H/ESMCLwq/SVA
+7NvVJq44RLhVhcl5lj88Ie1MqND0WSgsKkgqgGN7dBOihvLUqYTdSUgxtnHw4HJnhBZmALoyvG7
OLuiTftWRiHbtJrbwRaPFMnY+AnbJ9uJryBEJniVE/zjtN0abSRY6VciqJSCeltTheYgle68FWcQ
Q1xvS00IZFQkX+toVfpzmY33XsZdQ4GLBc5A2ztGi6M+T99GzTjH1XpZdRAighwBRuLuUzEofiRq
sclTzPaJmxHs1z2eKPh8VhZndR7lm77OiDrQ0wA3mUfQYN/lEXgJkjxwhpAdWrN0t5NS4/XATKOr
/UXnAjZbwhxqeSrL9KoV4sYwVmAAZn/TUn7FJ+1v29Rm8sr5p1FHrCGmh85ZxX6fiV3bGmfHSvIt
hkWFYzajYkirgrxRdrRu3OZz3Z9XlsZ891KaiF37Xrf1s8fbIOyWcfbNklNYzxGIjJqumcIc+jBj
xodqGgFg6bELzsl2zKpzbEZflhZoScHVFveGHViD+my2bJV5pgRaAWOtHWjQSeM7nOonbS4DyrAu
be+9daS04QH0/Bv29iFuyUBAcT8Nor+mdd8qdzVJp/WdWiQQK8zEXt4851FMO9UKBCRdzXMlMFFk
g/e5ztX7were3GZhJUz/8Roz+dtB009Hb1C2napDsE4uaV0f54yOPCKNmH3yoO2ZyIpIkG6JrO+r
rQi4LJNhYoGPHPbn1bg+6PZ6jtuu32kFXCd08Znp2+bzQmYrut3krH0IOWQ/rcZtZ33uFVZDpfCe
Kk/bFBkoCF1SkgfrMCV08jbrrVj1fTSmGE0sccdhR8JpCNAYGq5U8rxRG90a/XDCkAyrHrN5LdJ7
Bw8WC7CHtZnx8naC9PkMxkfvyMSYQPt2XqwZQL2KdGvk9q6I03hPZkCyuhI8TwtPLEXwk1M1Gr5c
DO2UDpe37qx8cszqe92pb6Wr575ZF88rJgFLw/Y+t40ZWEaCSb0D2O1kzVcXT+zJy2kYmOHXL6p6
W9aMx1SiaVdalTHhUbKirtO7wMzEa3y+N6alORjV+EWry21rqp+W1Dm7BZBhKL4BCC+amcze3M0i
fqmwobKJZt3iLrsxqgO16W69tLhRyUqtfTP6VhtdCI7AoLbzPXKnd8SU8OSKKOAzj77hmY/4G/Vd
YtV9sLZaEzZzNoetop9nfg1undq7t5Z+Pxdm6lfFWOJhIqkriWMpbeIbyxkC/q5IBHlvku5vXxPM
QP6wDPPGLmhNcaFYeN9SMh39YNzn/JtwD2hwgqpiMxTuLTtE6DWEA6Ixh/MROd1mXCfcAmO2S9rW
AfRY0JwwKG90QQB7ytvAkkAWK6a/loHdFul4YypaFfINXfaWPt/PcNJ5QOEWq1P2Ry5RshloL6yQ
mHfqzPCG4da4SfCrsLNzvqj9mh44juGRmAxD4GeUhPhPGu3sden8OLEFySINs0Hcf6MhMsVQDRjN
cvA2t+057q2On5oGcsx8MtU+Y92D8IPMYuXNZaoBEDTadI2H+V5lsqW5Z9liUL+pW2+vULH8mKyL
2E5Cf889NlC949yViZOFa7Eav8aT/6f7AUwC8f9pnvrvAjfA21+EyV8/7KdZCiKBbE4h4wgGAV/U
T7MUFSyuyaODuYjgwA9h0nB+waKENRdjkWaqtvyj32YpxiyL+cux4ZNDb8U+/DfMANpfhUmH3Y8N
KdHBdUBYgjHw51mKEFjrCQoimHqG5ugWnnnuqvnGrYrWt0T3bHPit5SQ7KuPWyD5uBFAoeDOW7Hm
aHNx5yUoEkO+3A2xeaz7st62BasIXg9YWXLceMhZJmbTZBvnI+UoLSjruIlwvUzUefve2FJV4TSF
eFji5jPZ0xoeukOFBK1rmd/ovXkcZ2U9WkBWk8hf3CVFM82DRY+U/aB0nATVSg2sGu0WjSkg0XKP
IvGYzAKZ4xudM+rsGhV9i+lDI4ykCd2SioBGc9Ng7MCrOqNHk4IBtKsoJDDA9pjo0B5yB1dTG2u+
NejD1pqbCw9uMqxG7bE0WeeNEg0zDUjVtO+m/qL1EIOGqv3cTfFp0SaJ2kLy08+qGd9M60BfSoYt
KqV+irWO6xOxY8XAdxgPEAMmnyz+Hk21/YWpjxYEwHfkpCgk9UF7aXuvE/dJbjy4YGPFoSGnO9yl
WtXurRayETUIe0KLffVgD6RANsnHvWk4kbkzNA49hAnrO1TT6QCFQXCMcOmuZXW7cAvbZnOsuJVb
bmeXW7rmtlbAj9Tc3kQ8MCkgTafN21Tp9ym3/D+PsY/HmPEfDw9pgTy/Du//ykvEB/44Pmizhvhg
szIwabS2+aOfjg9L1zg2HA+20x9yT+TpMRJJ9KgN8OcPdU3OL5qKUUale8Cjtenv1TX91Ukk1xku
dbyQkh39z6mnXkyiLe1luqr1bQdbbsmc4KcT9fZXDsn/wix/S/XM0P+f/+Lv99NTT/KKyG1RYy/p
0rBqTPY6Px9P9oTlWThCXHszO6bOs6JePeuuxzwd3SJn9Vr4nz8fANj/z2eUX9G313ugS3x52v/W
sU+nOEU4EBtB7JetLXNCX+sl/om6v5u62j2Og9Vc7NyKNr29tbOlDdtojqxwoC8WP1Nlf2Ge0g/E
NWVRD9Ob1tfGxnCTk8VgV8kJr2HUG5X8u8foJ5EVtZwFnRo1K4s75kM5KRpyZuzk9FjKOdJkoOzl
ZGlR2LuNm7TeRctc+amcQB05i2KQ7DAYpTgCXR9B7d4dxxv2XjVa23hSGGh5vjEEs9TdIGcH5sLw
aE93UVSQNlCMPeVPtyPjMTusQ6XKhD6Dc80ALQzlqZMT9Vh9GRmwZwbtUU7cGmtfyiB2JgpqImfy
xK6nrdIwpxP1PtfCWR+cjyOp+zieanlS2RxZmTy72o9jbG1M/gdRdnN9LWLzNFDwfqnKlSRZP6xB
KYz2a666JxsrK3H4U+OkhznH1upFF0XNL8tqv2Absjcy5UTckwEc8iO98m8sLKxwsszz3JhHOhxZ
yTSnIZpCIZbDYqS3KkVVVdQG6byccIedmObqYFgpaYqt6aYf1RcQkCEYct4S1fpkFdgEUFdBz4rq
tsqHnXBxZ675Ua3pi5lpWCBWCkinnXns9yN+F5MmqD5zntphgbSEDX2rl404CDENvHj0/s5N2+VU
LMi2vavfFOWbp0xXM3Hve9ER7sVgzP6/22pNeYyK9BYg+MM0VttE4dtSzwyvKbuOcnhzEoyrmp3d
6fEUeqLkIpy1gMs/MIF2DwLBV47u9mTupm7cqrhNB9ullpFdRV0/oAbcllEL4GKmL5GO3PF+XpJ7
O9IO3SQC6m4/mXnlz47VPTaqYvjIJN8rTANl5CE9V9iF0QRN1fSB8LyrU3xTCRv8uEYkxvEOVLYQ
2UXFtrEyEAe/RRw5m3R10OS5m1UrhGXhizm66XsQucT3+3UIrF65MKQF+qRAQ7fvFjcewGmQMDFM
LkjPeDYJJOv8hvhtXmFksoplTz8OpNWC10saC8y4yjHv10eSOxgPi+GSkm7PIFlk2ciPNS45Jngd
hnz2mjnuuW4Lys0yajinHox91E8Yy6LR3f9z6f2qQHJA//tN/sPwShimwPTNDQcDblh+7zeUR/uP
W0+lm4Bzn+38b7ndH7eehszI/hzi10cOmEX6764lFV+SjruftQlXH3/0+9CsyZSvB0jL9hzd/lsl
hQQG/nBHcBshQKKCss0nkgyW6U+3kuIqRt7NRX0V7LLWM3FcygQZ5DM9HIayuMULPg7gKq2LxRoA
ReqbGeNw7fTykUhdze9ceWr17jO/9ceir+7TMqW1T683RhadXcs6E6DP/cqZdrExxgHMFTht08ua
Ve8fiP561PtJLrHvrHjdAgHIgOAW/DQneSD3+aw4s/PA9UVNH449Y6y0r7rCDzZomWI7xaOrHVTH
6NKjnttDzPJSgYKpYn/lcmiMzOYyUFkzE6g7OKlT7lrHO9oFZoJHIxp4lkfllInA8+LEPHVZ2n/O
pqgKxGiU+nYUIwPjILIbh7pCqhM9dt9Mt9Sre73bZfucXfAath2hh7CEtseOZZq/CiIUsFCrF4dg
H673CcO81+1AO7w2EaEJZ2rnu8wtpi0eyHMaoSPqPWuRJkmhYVH7lbCZqqPxSVejZ6VbD4Oj3I9O
6VfjdDCXKhiV4TRP1tUbbRTdxqYEV79f+vSVfQwlWY6CRUCchVPh2wcYDKK52cA7uR+FcrA1PeSa
uLhx850AHH7Oaa+lw5FW3n0ctSdeIJdSny+i7r6qS3/vJcVez+ynnOVNQqtPBHHITsZ+0xbNQ9Gs
JAPSoGjU3WT1993gBsY8HQhCvJSOvSFW+uq5/bGgKJlti6GTQ/5eaXVoFvYFMEc41S737QpLuz9H
aX8Lb+Nz16+BhDY3bF8qJ7msdQmfeiEQyEKKeamfdWJ79XmEeMwm98L30m+yaeslySWL6ktveDer
YW3FMBwzK9txk32hSmnrpsMZb9fXuAbzKr/1seM94s7GNKHtsBOctLEfNsJTL0KnO73NLp2t3xEW
9Fm5PlmJcSgy+R0WdUD67dCTr3Pxd3lR++7h2B6r4gUY8FOtJvdDomyjxjoZprvVRXlRMyJh9qKd
JnP+OvJFEF/TgrzSTtHIPtxBjE6GU+xoIH7mG1xeBx6f7LaX7r1z9PvRm++7JfeIUY7WHdfWLrWn
5GJHJvENvbx2MIcOZV7wykr1mpT0BgLQxprbK8jU06TxIyXoqy6kMtpKjbRBLF0QTUEMB2ZpnBzE
1FmqqnPDQ7IonMBAcB0oQ1Q6FNimiXaz1GQVI/qydsV5kmqtW4pH0imhoRiYN6Siq0ttV/tQeaXe
qySYeptRqUI90c7kBO9NqQ4z91ARJxXjMaPbHAm5h4QEf7DGmpIraEdOtgURcx4QnpFnfQshmopL
EfLTwXdL14eNJ+VqpjK/QsDWpZKdLD0TR3o1o/xkIHWzZQU82V4aqYFPbfmtkao4FU5cwejkmVTM
U6Rzq3APtdTSO6mqV1Jfj6TSrmQCHAhaop4QsMyQ48u0QJdHoC/1+tMgFftFavdKuV4EYv6MqG9L
dV9xEWObCgeKdPhjDLq3WQUMYMkJs+5dRRRbCqkbnxjjma3VshnlJgGgHKFGuV3Q5Z4B6H+7zcRy
quUOwjbSKx11T6MtbJ/szGNsW/y8Y/OpWGCMbn6N5EYjkbsNgyWHJ7cdBAyIK8kNyCp3IYlFAeQ/
d//H3a+iUv37u9+voZ2zfqz74S+SGc88PvbH7U923jDpxvM0jZYpF0nqx+1Pdt7ET2WqHi/ij83k
77c/jGOdNyKG4o+44M+3P45Ay2LU5dX7gQH5G5IZ684/3/7sNmkWkRWBfAVUMv3xheiVDt2IYMOv
xZjqCFJdW6tHUOvmsVrrDJO+XQL1iCH0zMrJrXh1ZBZ9jBOb74Ql20Ybssc5Hm5yd34Ygf4sEbsA
CiHJPE/0VK7pevTS4Xkql4tTGgcLuBGhkhquFDbbGSdKw8/zjPc5XXm2lX0PspV6isjx8CYYxneD
KZnxVSo3ab74FH3rYZcr2PldcyuyzPXNQiUq3iefFxuvQF+YS0g1URmoXfNo2gLrgVB08owxZoVV
9ReyaiZhB7+ropfC07D000nZ9X1gpdNXm2RgFrUQgjTnW5vRSTDa6Se7nUHFO/bBmNHIW8x/Sq1/
smNz5zpcXRGs8MQlwmj05V634eJjQOGSQm1czBFD2Dh/XeroaznMiAsYcyzuuBScHss3uOP5TKlt
XG21GZtdNxIk5mZ+i1VcS7NWfWoI4uORo7gIL+O7LfNIcLFe08aKboRFmqPjAsDaRHxJ5pj03ukC
s47YzFqmsyHy4u2mKb/RrHb87HrgWzZc7AP8ppFwh4NpJnJqjiNDpZOANANVyCo8BBIOQmYdFpl6
yGX+wZVJiEhmIgaZjmCOS0LsGlSwq2lEA0Gf3qRqXezw6Q0P2HLWZ+J/SVCrRbTJ+0I9L3aJ6X3K
8891N+oIINRkjn1Z3ved1t4mtp4eXK2bTyx8edsuRX0E59RhdjHN7BRhj4tCpeZV262sV3jVRl9n
l1g5pfBKC4VMvcPxpYUJEe0ndeEffhfBw/uicGN/N91ChKVUJ6eBvSZ4AH8p6e7spYZJHoSfmy69
0ZA3qSfmX32CGxCfeuRPVeqgSisunVRGI6mRwrIhzSh1U/ah7POQUk2pqbY8tLMPlRW5NYps/J9S
ga2kFgvpCcqbmWtBLZVaR2q29Yd8i8Dh/KrnouzWUuPNpdpLWY57sGvum0RqwYqLKtwjD89SJ6YY
gmJelON/DvNfD3OSIv/hMH8tXkdgoP/iHScjJj9OciImZEs4q03YJR8n5Y+TXP0F5v1vKuTHY+33
k9wiuU1uEn+JfAb+4R1HiIXTnyyL7cnNyN9ZfgAX/fNJTp6Sm4TPpNIRxYn+x5O8itHHitGtr6pa
xPsmjnYJfEEsxdONcMYFhV7vT7Og+ddQV2PnzeK2yjBqG1X5tcNGG8DagS6XWKFnINrFk21sMjOh
9DzhPZWBwQiSwcWX1tproFBQc9vG3ktiMXlxqBj+rK43bmScOsvcuzVlzZZCw8zS0PQU1zhl3fPa
LWwGYObtRTEc4zKD9WRax9WlmCE2nTNhU4zk/EYOqXvnoZYGVZfeDWr3ile+8l0rfh5LNtpTikuw
mtnNQkI725XzMkd573MJf/KK+sWe0QlzJm2neFSs8jy4wCK6KXmqOsZgRSthkU43Dmbyqsq2Wqx8
1snl0QG3HdTWIaLTIMrVn5ANL5jMeI1a826cAavyQ4EH2+031UzwU3GGMLUhfLI2KkhGzvZmidqF
/WslwnEcEVwyBvNp5giIUSNl4e88ictUjGIT4wTZcQ1sM7u9n/MRXQk3ha/o660R2d/0oXnMxbKd
XA3iY0zJhGlvF4qkU53JOXL6W1s4T0kbxWFjLp/slBVVOlkNsVJpeKtw0Rnp0geV7uyGbr3r5srZ
or4dZ614T1b5sBj0Jzvh6cPDMfLt2rtmo6NfisjZz2780MLJO9gYF9TJvbEXBgHdVbepMxJ+adMw
HVYeUMYw7jrhfkpszjrRyrqsOt0Rdao2eVl/yx27DrKBwAmAum3hOsGixuEyLHuwjRmZn+xr1xnv
qCDvU63G+7g1L7HN/nmkjm9RR7IAS2E+G1auBiowbwJCVGBX7ZF39qGwtLMlkm3nxvkWEwXX0Ix1
So/tZed+RGMqSwzhNCp3aTO9eWs+dT5lVJmvdu1upfWKlVx7NJVW91uz2Xs2kmJNezkmSGAfkH/3
uhJXwE/n1xwHAFdbwGUVqnLfx48uP0feS21gKU/aYXxAGmyJScYzqBzBPjFKaIdahQZKCIirYRX3
HtoHVEmU8xRmpmfz7us1ovqUKxZxxu+FwxXlZo2Gy6jWN8xq6hYubcEjYRU3i17dRUryzYgn826I
ynsIKSqKCPVlTc/fJRkoSlFWEfa4LTaxul7h/9BpVEKkZEl4GznWKSlVNfi/7J3HcuzYuaXf5c5x
A27DdPTtQQLpmUx6N0Hw0MB7j6fvb7N0VOeUqo5aERr0QDOVqshkZgIbv1nrW5WamCsr4QNksN91
2qEtr2PTZDrQOFeOkwf7ySovJzlDHzqELnr5DrSHCfucvOIrrdY2SYy+MinAABauj1HUOpeECP2I
5CJj9pLlRQ+N94E4hmTfluM6Lok4qgMugyEPXucFJoA+16dgIR++MJRbptk7dL8Ky4XoQQnTj7Tn
lsEFwLVdMUd28cUpOcI38BWyM72ri+DTJU8LzAnXHWRdCCnoNc1pqVdKhc10COviQtEncdKK/E7B
EXE5DTP7D0C5a9tdAn9CogUbliizsFHB347DiYweB2EBbofMjW+jhqtZmKjvmgyBsBnwjU8BRM90
Xq7hHpHKCJh11eb4gqtZuTEoVHyVV2J2RZoPIWOjx1oy2AxzlxAe1Jk7yqppMEEMYWGhfKivc9M4
ZmV7qwbqXSDi0tf0gdwqoa9Bs02EwpVEllMka81T+jV2sr5GUC3DqP63sdTXiCqW06pazq1I4GaE
9Z+a4KsmMCAZ/HVNIDeam+a1eIvbtz/bavLDf68LUJGiOED6IGxL++Iy/r0uMOSCEnnn70au73UB
ogjy7mj9fv+p3+e7+BPlWPbftNVEd8EAmdmjwXRXstN+2AAKYrydJGiW89I91k6wkjbsHz6YP9lq
yt/wc+aCye8gnoCqA1jkF6Hhh1fAQW1VU2Vo53ZSSMHbiIxLV7wP/2IiNG31z69Dk/3jO0GJXQFv
EtpZsPjRGh7v779+I1KI8st3In1vP7yTUOMR1oMYPOuTzUjm3nY/YQ57rnJ2+2GN7sVrh+cKbFx8
1eFR1eIPSJMhgWvldVfchmMFFvNoiXDtkBUWmtd9cjuiR5vgr/36L5WwoF/+pX+Y2RsxYo2xkZ+F
sYZBiXHlsR94OGrmeZRaU0ZY8fxpK/qq5n86Vvzb2Odt+l/hB7DbjDjL4sdNNoS+f/wDNOYQrOTp
Q1nB//xRkciudYNqz2ee5MSBaqQFX6R4tztv/tp/ul/CDoQhh4bWWfTjjZbhnh051b1BykAaKQjR
q14dpLHjMIITaLZZ/qTnxmEMVNy0zPi1+8nIk62RuomzCkgKLRJcWhbPPJ6x+lBvtG72h27eRsuZ
Pn2dh/iDa2XVW8u2mdyrXL8KlmQT9E8t6zw0pm3onEDjw1e2/KHgD4CJiy7bs1k4zEnlpwRsVXXt
W3h4lprOfda8XusvbDVfj9Vurp/aBBqGYrBxLo5aZ14nySmZ8u1Q6OV9LrJVRbe3Lt27zpSrSgH8
iCWriEPTN+Mak6GTQ7NOs+dOIRwsXxpm2kErs+x+O7f/8hv6CqD4/bZkrcO588ONb/7hdhljl2jh
qV3O6tbYBfvlons0ts6+Obcr7aLbgTlaQ5L35o3hHcDsbEp/elb2yHu36tY6gWE//fqa/dk0KsUP
P9++dFY/3lwmycJ2Li/ZMt2X6M1HNkGrekNm3K9f58+uzB+Poz8cePQSSxZFvI5CEsLd9F7LFEvP
BKgY/JOb4A/S/d/e0o83wR86LpdbtjHcWD9HLJBRQPv9hKR8NSJsRrB9Hv/ZW/tHNQehKVQ5MKRd
0MF/TDvChzpRJRr6mdRs5BHfBuXq15/dnx2AP77AHz47mDUgakNdP7eD34sU443XTv8sxe2fvcgf
Tll3wndHNa+zuzou9aGz7pjS/Pp9/Nkj6cf38YfjceZZ3QAz0M8QI7yJUla1EOFfutH028X27xaL
nuK3pmzLz+5/y9/8VlZzQwBG939+/kci6v/2wv5r9/rTPxCuyX75uv9o5puPlu74+8xX/pf/r//y
b1vqOwIz/+e/Xt+J+PLjtmvit47Hyz9ssPn/flkeSfcN9LA//8m/10ZMvwEICyYf+GV+DrXWgcDa
5Fv9juX4vTait3aQnto4YmBz8PV9r40w33C0AXmVhDrtX1R88W3/9BjjNzkqpZmwLBxAuGolr+/H
Q8kNlNIKHac6FxMtszZbDGB1eELZVDzGmLHXeoJspdVB/GSpjWNNdPtaaJ8DNgo87fl4GKUBFxMK
WShqvwtpWgSfB+MANFJl0SebnrCAxE6+jQF57RrACVRHtAlZNxRrOxcOLcvsXrG3uRcN0NJ6NNjb
pcvFnM73YdiV9H+PQWLcYdoozrYWKF7JfBLWhI1FbdLiQ55FjwFcT3Ir3Wu8GwRFoZPWlKbfhDrS
6QINNfuHY1JN80adCgIqpxtWSudJyq4zpb4cpN3drLdCCrMHFNq53dxGUrLdzOWplSLusDO2qepG
XoC+e5ZC7zIMh7Utxd8GKvAwrm8BSmCURh7umg3z1CbeY3p80TRa4XEaL+nKgIssMgdXKs2nfEcS
qeZPaR+B65eYquUm+NKnS6W6LTXrWbyAEkHG7lbxwZW69gSB+4LQPZGK91hq3xGwb0ephq+lLl6R
CnmayZhCl7xixPNMT2BxshrLpK6+Q2CfILQv23dSFz/Ju1/3UocfS0V+pLWvUV+Y8KbYDZvI9hOp
3zekkt+w9BW4cR7+UuVvIfdnxnVD9VNe1bl2qqUjQJXegFi6BJAs6ttF1+9M6SBIB1JHsBRU0luA
c2aXSreBhe1AlSImB39XgCGhLburEYNClwEAwbBQSucCaQmP7JbNbSFdDYH0N7gYHRYMD0QHP+kY
IDCUvEAkqfa5Mdyw4EU4hVmCV57WE/aJwcZHASiMmkWbrxLpsQgwW7jSdTEYzTdN+jC6RtP3xFNY
L5GS2+saAIxYz0VbY7wgDAxxYJMM1WU4KGQ9S+ng9KUitL8UhUZFzSUsB6uMMx4GYaycwN401bST
NO9ZGIDDgubZNcfIQ7yA9q/iJdpoVRF03IxkfPSCj9hhZKnk0XJvVKW2MnXW7kZl3zq1dey0+SOL
6tTXUnFD4Hd4tAiIWfLhUo9GX3OTYp1aTCnJGnxPlsrdd6X9zsOS8YCzsNkZyCwptfa6q0s+4uaE
jdfx7WasDqWNBSpGL1Gn5hpHt8kV7vTM9JielcRXU6iE8ybRgs+sCq6yZu5Zl3fqeYj60rN66gr8
ssdaL9T1olr1jiAaX8E8awfFYUx03L+B/pwwKpE29g5ohaKecP+KD1UN0rtSZfTE0JbhhJZFJN5/
Hcr/7sfT9qO8RP3f/vw4+v/66UT1+IunUwRz9fVPnkz81A9PJsKRgYjhgSJiERHV73tZyVihaQdc
qCKL+gHHamr/DbuQh5J8PCFKluuBvz2ZwK/oqLgs17Hpgflx8a9M88U/lu8mEi/5mLMESwKUyT8/
mXT54tAssiuVc4tJFGACDZ/4YFshEGPlDMKDQxYvOUkxgJdnZ1djOCCnQWv9YXI+8HedXIG6RVrS
C43WY5Y29Tbk5HaMHfuwjYWPPZ+03YiCI88VWe7lPmSW51YAh5AWeGOK1i2eeKw2p7nrPxC3rEeU
SVjJsTDioq8n8w3H/zYEYcL2E50X07Z+l+C9b1z32OLFL3WB2zxZw3djVI5b36JTspE7j9LGPzdm
TPemv2ZMDnRVfYpUopDtgCyfSmIAGi0LPdi5kBDJgRJTN2wcqAGdpAcYRDVHyW0gsQITHs31AGy5
0Ih7bGEPoGZSd7nEEQCN171FIgqUAlgB59vZNbJ3XWIMZp0yNw4xphHodNdkJbd5P/mqxB8UbXJK
JRAhBoS6LoYq86IKDrg9lTPQRIegsfkQSaRCCFsBq6ACrRThmFNeRxK/UDjuQfsCMoju5EJoqPEF
YvC9RuOsrHsJcZgBL6lQHTSJd1CY8U4Rrl8T8kMCAWJuK86lAChEnxm5N8OJWOBFwOrwRwmQiB1k
ugZMCVzFEMfVz7ZdrF2yTKavSwBFBEMaeapx3cOmiBL+/lDiKhYJrrCYuvYWGLFKQi3ytv8ooVwo
beaPYbMifzbGUAYEQ4WGQSJ1y0gbQEZZRE+QKm6AccNecbDKLADsocmn8CgAbHQze59RQjcyg+A5
TYI48rJnGO08CggdtkR1pBLaoULvIDXtAuzCRRO78R62h+MJifowdSAvrsR/AHlEJwQRJDDKS9C7
FzUBGZQsLeMV6CFqUj7XSR1j0UnhpsWNP7EmsiRpZByoHDTgI7WmXunASCoxSmIutF8wJW1R3ffK
sC3bgjj0cmNak0vEHbC0sB3ctWmN+CEl98RRh6dFglAGHTnQtEWTM/uJZKUUFou2mXcFRKVEfg7Y
Yrh1wKt06qFeLrvhFABemVV3HwJi0QCy6IBZMrGcld5yWW8PW12Wjj2xSqiZwYWhqmIwn2VcoDEb
GQVwQ40MvJQcmIK1lweMNcdzjBA5V4fPKJ1SYtQMe61LNbABVGZClIGc7tNOpp6onzrB0wuBRivE
PpJMmuULT6MjFV85BfoKRYF1ISTHpiS+fuNKtk0DjS2UtJtScm/ywXzvRYfSAiQO246nGkTOIlk5
paTmhMZ4NZN+hHyanIS5s7o1xxE7EdEXenOEFtcdOXso25wKl+JUsysoiHwSBQJqpI8wku8HlW38
NkKFt+3NueJeqgttNdlTgxahDydt7RSKCS900A1nZzrazK7CgLF5qRTg629dNde629FtFOPYT315
HIkciJ6axdSHc9pVuzKk+KtYJa1LMzU3cSxIEFOXV60Jb9rAIN8hnQ6mWfSbRmmmraNYR2FPsY9Z
31z1mfVGlEKL6ssihzMxn1LFcrxI0vY1dbEORsnFnBbgQfjPyWET5QtusNcoaXS/cxgWGUv92bkR
PtKoREBfjPpKVQnJajqkcXM6nWbC2qbYTTZYqU9m0VwrQX/MnfIFN+/ngjZ9nNidtJjwMfoK0ueM
6RDN0EvHnIzo6jVOyxsrDsZVpwtyuhhRU+WOt6oOE651L5Rkfs4i/XPRVH5LiHFqyB9IY/Exoenz
lPimaNZB2NykEjigyi0F8XzZMYvsk5pmqu9O5esYLvvIMBpvUiYLDhGxqlyMl5adLj7cBToR0iLB
MOj+aIsFA0J/WtQZt8YUeHwK1c4uUPC0pdptDXPgbAcTa7uxvWYlzL0UKHcdFi4RPuoNrG7HTAI/
UuipnNQdeXFEIG7q7shx0LwF0K9vjHHojQ4Wi3yq0OOW4wWxH/rKcQagH5p9jsfihG8VTG4VnN2C
iXTeUpt1r5Y7zmt9SG9nOh8qSBnlBvIDBEB/H/Qkbfdj8QhT4ZAoKX9jvzz1tRtBiLVMrgFUMdDa
4TOW3Ufruvcc0Bu1YvSZR92KtdfOSMr7eiDpLLYncI3qnn7uanCqG1eU32IedCsa20tT7Y7ErAQo
Rs1gGyyaXE02+1Ai0+ZuDFe6cNk7p+neFbPDPqvwEkevty0SJS8223Ma91dUIptC71iJa7sqBfNl
9joXYG+yg1TzAdiIZIkRm7hVQv4ttLPSt9JhWyiKtrVw4+w7PlAP6PtZrdpk5djdoS9oBWsLB3Q7
3WdFqa7nkocgRxayVFA1yqgdM5aXqKiorWW4xzHUdNjAKGiUFso7/MF8v+iZAZ0sgGwGMQFNjLE3
zfgq6hMsT2W4QadUrDjkOODEuFuAOa7o1K904OW+oxm5b5XTG5PiR0PUIGztt8U03ib2oVVrPZVp
+AT81fI7I94HefWkorUyzOZ2xHBiJIpn6HPqqVl01JvxFYbTtrf1DzeFO9/H14tm1yu3U28LUx7i
ithw1ke/DQb/U3abzOp+UXaXdJF/VnbzU38vu5n6mDb+N8dB+PiFXPlhWSYMZC2WXCJ9FdA/mCHY
elL1wGKRmBT5Z3wfCIETJ+ab32XK+ZKKT+L7aOxvawyman85NOdp8dNA6Guk68rKn30W6US2ToH/
40AI4TKgTTVRz7ohmmgjHNQtYJb6tyZB1GGmE4VLkO5Yv3BLau5D0BE3H1Dt+ULY37BL3BJb6ELc
0H3E5yqwkPhbr6j7dqgvUiUJ2Xs0pOPWgx9YQ7dJDe1ltKdw2yJJPuZ1va8HdIpLfDY6ZZ9H7gmp
30pr0KDh7oFSMXMC2a2zK2LM76Pi2wZ85dEqvVJZrlKrDzx4EjfsYZ45XRVEJcX1nCraqqyUOyVC
eh1AJVsBktuEgXXMkqcsnl/GEAUlOnmEeIm6amqkNLk45mrN5Aqm9FyW2H4r8xzBx1ipGnEMOAaH
oj86bfBeueMxZoKrU1pem2jEvbAIIEVxIjB+eqbVXWMF014ZJUkwueMvbfMQ6+p7SDcBTMqoQfFl
95OtUGmQYFCCzE5T5zRnYbTWeA+Bmp7ipXptk7LdDEEar0cSIL1Ir8W2EAHjJGrtxkGmylGPi/Ml
tzoYF7Z+MTn1tjPTcuWS0rTCJ7Jx2nBbB+Kc6gBpxLjs+lFDErq4D4nlbvpRnACsb9XOGbzWSa6L
HAfYUEwXTrtcjODJ12NQPcWRMCB0ofOu3fShbme072n3JJbxCCS+WXVt/lk6zQlBWHgRpUyvIjPy
i85aU/12ntbpuzbA1tzW4Z2eNXsV14fH6eviwOirNYFx70Vo34bBvO3TcQJ6mB/mUv/yLX5MZnVc
rAKjZvfI/4eTnTGdOTjwOID9rqKku6JvyS7cKb8jnEhLgXnZnKjcT35kBETo9u1nrtU7lIpba+DB
wOIt3PAfnrS+XldlTxGQQh0blPZWG5ptItJnc9ZggZDlVjmCps7GGV6WhPsVOTvOaN7URBWZHTGo
YLjWc4TXBO+S46VLc6rcrEWGEpDnMRtbPSyPqTA3mYu9LwVwZqbjIYm6xIua+bIheQIn37FjzIqG
Prbntz4sm8eo6GT4HZLIlVUW9o1eqQ4LOqfJlWu1cuubdpbnPCmnm85QN6kCdqvXg880nD4C4ape
VNIDo+062MX00FrNty7t61VVltd26G6VKL3WGIWifhEeHb5fTaTwGfYAyV5F9yq6S83ITN5cta5t
RkXGlOzKbjLXUWCOYMLtxUvQBiFOzv2unOCpza+Tpfv1NL04gbNW3fmeLzpaOYmyn2PlAoc7fEIF
GVBJ6pLmhUnmu0qwS/J5kzpFCLkS9qi5HIyqe9TqBtvNHPp6Pm2G3GGmFSf4NWoQIqm+cid7O9In
QF3kC3nommQ7T/0GK6c35P2eTTE61ALtVd76Uew+5UkCP6iJLoYK8TPNjbuZcgBtSwoDpFYv6dve
WmyVKunA82RX65TMZKOaT0Dy92ODkSrXVWr7ceS7FXir2Ie3DeHLw5nZot8m5p0ah5Smc3OxIAHD
f1CsTXKGVypdPKYOdwM5/Vb0wUdtEQeGUWHfEUPotfawIycNJGONV9bISVCGyRNVMdYLxuTkucAs
7k8jMOhJQWKG28UzQ+eZCLUV3s8dg1vmIOrWtfsr2pFHVa/2AaASiz31Ok3QAoLEJB7OKm+M3u28
eGnOporSLEx2UkJexcNlYC13lPurWu+uA70/NDX4vVoMkAJnf1n0jWU1uF20PS3B4LfQSDmFjY0r
uqNaLBunMAfPZZhXV+q3LGh1avL+haBhAoJ1Yew1O7zSyGeowvAamOOF68yIsBcaRWsZDyruDCrZ
yEurMFkTBuvCwxb9lrXVFaFpmzSDp+k6n4a+0BBWfku71TaOQktDduVIes7cVVed7dxPcR95ucB6
NuXCXU+Jnj2lRjD7YTV8Jm1/jCYV5GABOaq8iFwssn0T34AQYm7QfIpwXve9Vl1G07Spk+U+1fRl
JYb0gRN43RbiulFQ8Ieq+6xYzeNU41fKI2ZLfQ6Wr3K8TqP4Qm8fTTKCLjyanWRamfM+qJnUMpGo
Z5md1qYPQ6aMDHWZy2yUpRs9Z3LWmRrvmcrgIhhztNhl9G4ORu/PAzDKttFeXcKTtSY31pQLoR/q
GtFgC9lnRv1pdwPhXl16IuSA4xI/uc+O4bFMdAJ+9RtmYajaSnM1Re0bMHdWNpL1M59biwwdwJ5w
1zWQ5aK4n2blAd/iHQJu5mKF4VfEf+HGGs9DCsbdXBw8xkSBZX3SXzcMMdaCOd3OLFTyBCCNEWWg
kUPyW1bNX9Yn+s+LTfZVKIygI0jvB4xlEll+Lk/aGg/nDMz+rN3mqyexGa5qDySS577e3bSn8hCv
S6/bxRdiO/rRrtxEB/xGyek/Gb//9VvSlzS//nWBu2k+2j/L9pU/9b3A1ci2tOhWKCANOQmmVP17
gYtKXKOmRIT1HWTx+8aTRaeNR8j4qool8ft7gSug5yAPt0FGqLoMDf5XClz7i839kyxEGodcSzBa
RkBAos/PV1Cak9o0dYF9GUztIezqoTh1I7WbR8ZFVZU+QVrLFqJu6+VRHk4PJclxs1+6haR+JtHz
ZLS3eVTPftQW+Mo7wHBj6KdLiO1PLXS2LBkzKzf5RqIyI+FCxGsyaWsSwMUl83gGy5nyXBJDXuTp
49hTd1x3dhXdpmlMviWJNjajXyZ8HC+xcglA24E/MBBnnSvh8wzU84rE7di6ijIGb6JwWvreMVgM
IFdZV/oiyNXizrIVYxNQToyMr7WgO9dKG8UPvZm3hIun42Oqu5Hht2m5w6CXzDueaKcxMQ9jL25E
aEJBJhdcXbK73mT+WUbVmy5F6lbUY+IBFcQdv8b09S0qkmXVKCYoWh3d+fTQg43wjFG5UAbFV3KT
QaUcpZpVpfmcHuySC+LsoWBLVrDj5VaKWlbcpg7Z7Ekl/FmJ39EN3uW9+aGaHCttzocinO7aNmRe
Idro3cjvZ9hQpS+zETJ8GuOdurijX9cUwnnm3NWZpm+YG0JopI2AAKDvIuIWimFo/HyM90ZksFIA
oLUqyBZetWqKPxMIMHODmZJDl4++3FuMiGmdqe/KFBWU7qQjj7ZJ38+DJrlv6rsKYNnpqXuINA7Q
PbfbvHBfw6g8Yls/4sEls8tRKJcW9xbEKk/GqN1MgfIu3GWTqdOeTIfLsLHwqgaNXzXMrvNCWnGC
6rMrFUaw8UhUjJK/jZELMHIunrikmbO4g72zzC7dcHldI7zuVp1TXnYiUVbmwpLO7bCSA6GEGX0T
VApK38wmnmhqQB2LofW43qioyqc+0aFah92h4xvs2n6DJg28sGCRaKl1uYYisc+H+TzV4lFru0u3
i+94YqYe0IaHPIxuqOtjFNX9VgstBcsz89wham5mO7hTR/V6qXtuEQ3bFAClcOXGMYTMJrjqg2U3
Z4GCnUx5a2ol8lkDpttZYE9YNJdiocc6Fop2Sy4XvBVzXg5lZZ8TWqhN6YjRq/rC8PIBmgZRsBdY
B96BPR1ICyXEo41PRD+iXVPtI3gkbau6DJVnGIcaN4APw+K1UatxM7vd2W3Mp0GJVI9bfSBAKcdb
2hufzFUpz6uSkoBMzN7eLVKtZ9vTwgCT5UGX4kwfl2KnmFydQUiQbJvFH9msL0xb7Ccxiltd4xse
yhTyeqPvHTS5PiHfF9GAKNEyUQCouWluxjo5x6HlW0p6k2fDJWQBZTVGPL3HBFJ/7l5Bwas3VgaZ
ZaxGw6+bSbKvrbtRo9VUG/Uz0M0X1cjeUHfIaZvKOqeTdan+YbbKw1e3kuf5Qz52+lp34XKx18A9
nT+Xs3kUSjlT3jlzBJjLNifr2pCzaoQzKuVvVH8DBuKzwqLDVGhrelGfLGXq1ktabrG4fWsM/bmG
F7tzVfJPK9e+WvqhIGAvwkPQWBZv1YA0Hs1vwRy0cAq6W7qZzHMqNdvNKi1xb6cJZ63xUlnmLcwd
UFqRg6WhD1DIEZ3tJ1VVeEWsXg7YGtapMD6GZXb9QlinJNEHH6ahTcdcuOS/mNTTzCtXOYFQq9Ec
35SBO1lrCUBRg1FcxpNAf9LWE3oEHO6GXt+MBYu1mfZzrbFST2MiXg2HRio0Zj8GjOrPSVSdcnvc
z3nwkhdMh3P822tdbtcng6u1apI3yy5syITJshZFsAlNY95ZRVPvy8rcpDhf/Mi2so3joFXlPFy2
RVK/NI7YFI2yDcdgW/ZFdI1sA1p7CQJmbhHPuSQXbyj16ZHEHFxjoYYoXhPwGhoXODOx6+SJs22Z
mDB1dlRGGzP7uL5/B7cOsr/qjANtPs4atu/rdAqLXVSAvVnGnO9mnBWmOyF0toLvNYToshLdQMBW
0KzQ/C2YIYdjmLmHwF2OzD5zJpNVswlSzDS5TL1EmKDY1sXSkvEMrAa62TBfVX10V+jLzANRyzYV
UIpVHykN3WT3ZtX4ZllIOtvJIQpx1jC2OjrgNTb/V12sXxXBovppGQ/bqlqORhdcBJnhp8Q0DJgt
1wYbPpmra61iu7kkG/nNwbmVtQFmRNul7LQU4WfE4ZaGM6+xHzKJWRhyqur4oPXpa5kq6Bfi2zQk
+EDVVWuNtgk+tVl9ZIv9GTLroH02W7+JWbf0sV6wZVSfqxhk09DHl4Hb4yrS1MEf64aVUZAeC4cd
azIl4UMdZT5GhGdL77D7cOvaWf7Z5N2zMJCGRN1lNXApm13+FgA9WWsuQUBunj30pROvyjjGE8IG
YVGBFCsZgHTMrauyTI8ZxlzP5JkqlIEDTNM+Jqfd2X1w4bCH3KrxfMgCGXKWKkywisd8bi7JzGA9
MeckWCamxxd6qFvtKIARKZXzOU4KWgx0v0Wt7II2+XCUYdP2ZbdtaXYZ6OO8L5UHZoAXS3jMmVE1
PTTxNpVYnW8RqBJ4Buoqaex9H2MXEp0DINdqDks7bjI75euhdVslVXucFq5n9B/kt+nmhwGPmMG+
fRsnIf8xBziT+4u4IQ7EZCqOfY3cZiq3FyqwfTwBHqTSWRmddVhEmXs9gXBWjQzaHR81g19Oe4JX
OjmmoxVtjbwDy+I+huhOwCbXl4RnYPopHuhCWlAT4VZEGnZkx7iEUnDfjKwMq5YYIAWmSxW7F/AH
afMxo/UKxCc7IeJtMfNtX06LD2ZjbWmsm0q6OzYpebiJA26dYjE4LBoi/IZaYraKYR1Rd8Kxj/Ei
o5wqzGZvG9FhnJPPCCXTJhyd86wl23LZti54F2fbADPRGLAp6V2UsRZTTDP3VEdsQRoxA7EpZIzl
m+GMDOrDbyjZL0ydlakSqEgTqvqV2STduT5Cqa/UoTly+9yF80Q8Vuc8aGwdsTORJYHYmQhrOCZl
th/YNQWOUV0XVgO9FtWrhUsJlbvyGA1lqXoTxufmkCKzk0v2cXCGDdIvZb6e+XYKVcSKbwZAtEI2
obHvuOmhHFX+ilThblOa7cKsbNWUykZBcuYXqTJuYrP0zTzt/WAonwJHW9aFM9RAOkJtTXT9vdEU
tyNr6E1rmJ910jyaMdDInMJLCeKOAYO7j2zzFWjkFbtCQUC41KvFzEGpu4iASU1c5SMQKGWG3ppH
UBlTlQcbWawo3XX53VGb9+6MtTu6qBvNXGWg3KbOvhy6GH+DfSEJAVLz8Kox62hd8wLmJdVNWX3j
2QJ7hYwI9pz3bRybh65XP5j1FdslUbE9gpRiq3eFMRQCZrRsJ1qJFXXNiOi6eG/YvBuw0dhxlQuz
QuuC3cuNng4IW1HHibwcd5y7F+5obO1Z8LATbbvrB+7oROcFGcR7xNO27EAHypvFWi0VTBedatfV
0pe0jj0zOqcVzn3BiHmCMtDgH3Cd4RKlADqMilxhkbyjyiWhVsMJO8eXZaheCgSLRHVfmvrZ6vKV
shBI2SjhYVDLx3QM910UP3d2d1+5JbQzsiydZjtZ9u0Uolhr88u51l/iCpplq3Ay5uF+me1lT7LB
C3/gfRQrlm9TC66jrsIbnysvZl4Oj/nCjrKsk+NERAnZQUmJF31h8Izgoba0p2og7zBJr8exeE0r
B3ctTJp8dp8zUV7ERvSYj1H8H6HYbw29nKD8dUN/+Vr9yb5K/sz3dl4HWWlpJisniI1fgNrf23n9
vy25dII7qf5tlfW9nXcIxsXsghTMRbBv2Yi3vrfzzn+TDShFYoZABMqW6V9p5/Gd/7SvkgMhm/WX
qVl4zHXrHwTM7GpyUwz6cq6qNl9pescMFJT2qhLzvZbUYAvBdVEqE+HRf1P74CW28KOok3lsRZDJ
xyakGGJoxHwSC1ndoss3OiSZlRryuImzzRw4SNDAxsYa7MB6VLfp5J5GQ1yUebl1QndHF0WOAMNX
x1pS/A84KDtrvLVE2VNPaB+KVRwhkMDGH8zwZMucEKVKg5VTozDVKdVrWP05y1xVEOtR6c6DXRlX
rZ6dBQ0Xk8licC+MIXtIsfYGE1KtWbjXQNBxXMEVEyg5Z0GWVJiVqj93JmbiMDktS18RIcHrUN9v
CX9lrUbin2JpO6Ru6gZhSQPNgszvzo3VDuNwdegJoJZqGmIFdNv1U7zvcQZlp86+sTv2u5k/vRra
bY8PLSV6KtlOiGzhQUSbckTJWhRrUCjkNLWR35iZttfn8khUWnzQKMsC1L+eQ+vlBal9MaZl6bmj
dVtrMdZup4E3VCA3DWnJzk4GsXLs1RUxLtZKtDAA0SsC6TRw6xed13bBC1amu4TAYib8xs6cA8YF
KkNxdFnQm3O/Fcm40kuaEp6omM8Dtn5prt7NjovzeRJ7XNqTb4bVjUaS7GQ6thfRR1IytrVXxm2w
t8YBvIsqB7EJKV4F9CVCIGbooJlJyFr61mhF4Q01WVqdsug3bg0OaxHpOhIUMoqqRb7SaepmGFVX
ZjTo+SnlcYCrXBG70FFHRtZOumel5E+2iS3MNJni6Hay7UqR1bumDcvglmhc5aCxEqNqRd4YpO5h
kfsyjcVZwwKtVa1mpbJSM5UKSh1LNuj7Yv1/2TuzpbqRtGtfkRwaUkrpdI/sDWwmg4ETBWDQPKVm
Xf3/JNWutt1V3x91XkcdHWVsbLZSb75rrWcNlPb4Q1kxoqrLVgtyE84GgURnTsNjrTU7b2EjpFW8
xAmYxRD2Bq3wSaS+Hsmv0NqfQgRctBpYVdgukQfLhVba0HjotG4oEBDB5fFdR+JKIi32SIxuwoq7
/VQds3afIkPmWo80g463QniF3ekedBaLGqTLSGuYJIQLtGRS9UornElcvgRInnFkEF1BAwUvcVki
inZaHR2RSZMwuSeX2KwjI4pXKVKqk9QPA9KqoSudlFZbB2RXwzKeBq3Djh2pN63MEnDIbrxMPHc1
bQeW/A709HxGzF0QdSOt7raVSy4AvbdUxT7XCnAtvXNnUmultWEujbe4WnQ5xfxsy6+ZsRWzf16j
JwdaWGY1p9YlWnMyMAd2WQ4QFAnXrtRTbXS3qRaoS5TqmGqptYd27YzhpkDLNgzvjAGaPmAtc5ta
8FYo3zkKOMzvgxyyK3op1z0DpdJS+aBF86xYngMto3eFWqMANVpbz7XK3iG39+NyIDfwSgcCOrzF
/k0r83WS3nW5+xpozZ4WaIqjGvkQGej5llb2VUVIyIm7bdFwFq6CJZ/2bWnPxenzRfOvR8TCMvH3
b9zzd1Xydv0Nl6m/5scb15JfPMuzKCWX3BXMgBDcTwt0S9f08ub8RGnyWv3xxnVpuET7CCzT1x2/
ukXnxxtXfME+bbGPd13EExtG8m+OkP/LISK1AeTX/bnH80P8jrctK3T5W/BVWnXEybZ0J9lKXIFD
QuDPj+18IxsR7OXgv1ABOe6aGi+eBftcYApu/Z6FjUzs9CmxWexcxWHVNwdMtjVPfp9SsVMbbi+v
a6HUeF2O9al2suQrNzE7WNHCJXdpuwDXzeP02cFDejOXc7SvzdC2tlEwVuFMf0+egMtc4l3XtG20
adxJ9QcRGkXqwDWWeftUxF7KxWjKF5tLnUPnYNLubJJP1pEk01LdRQtekX3ShBr9WUVqHziRuSET
GDHRgwZU1ZjujQxC9NiE1h4lzNqOU7PszcxTD8CeeussC2Zv2Tptj2A928EybfOea+VlLUODS4+o
DbZg9eJd9nMbg1G0K+8uQVWFuyFrrpnlTCcKEMDuLnNyFWzhuedXE54Ie99I/v8ctdXjMgr8cXUT
ZSk9anElD6y8HXP77yPKmtU1HVxPf/+I3ibAkNrk+/v/Pqf6C/98TsUXvFgCW9YPt9aPx1Q/wZLB
mEoH/jjUq/8+pgK3VkBNBE84+FrH/ekxdb6Qt+DhZdzWD+k/66j9jML+/JhKh9GcogqkLvxkjveb
jyu2NdOud+xLVTVNLS8MuGUxy1FhtgWWVpFm3HltJ9tQjYrkm4w96Nl5xjs7d4nLAGbmV31FrGks
JuPguqVz2WP334x2W54DiS7uZqccr3rsOBdl0lVvXQQtxS7G7E5YozoXVRqU626S7xDMmb+EH+6s
VFFxKJuueo6J1QeE1diBEEJaiSDfZ7Y1bhaqTl+HwbM+DCdZbu3WI7scxKxAy9liueAH3H29ZjPZ
KXgSMy3WSSyz66Low692GsS3fW3k8Z2JaSeiwVpazXJgXApZX7N8Z1tj8TDb/IHk7nt7NVjCUoBO
R7+aXzjrhhulLJ/Va6VsQbAJ68TJ83gsCzdp0nsjXVxYA0MmJTsSbXXCDzIXWAPm5jnre2yeQ8Fu
3LbtjYQzoer56Hd1s8GBjsYxqMA9B32qXkL84pR+x1i5AWS00cpo4Niu56R0HGov2vQwxzDmKG0Q
twRakHvswQWdJtO3Ls3jY+2FznLppk138BuMIbdLyuQ140elDibmgzleFgGETWP/74nweSK4vGX/
/kR44H3d/1XPnv6yP88D/4vngKx0aCyGgvJzabUVfHFl4CJuc/PltOCp//HeFqjbFpcpIQJ9lw44
YH68t50vyN22x/1Wdzzo//QP3tvaGPHzeeACynYJ3lIkge5NHc2vsvdkGtGgVNmfeMWtYfWQH3HJ
zxR/7FH+1qDBzf9//yDiyQLxl5ZuGzbGr3+QRa638VJRn8zeDe65QlKSXMh8Xs44+1zMpF3Zi0NL
y+Yd1UzEc9g+fEt9GT3VVQotgyTVuSXBHdVApqfreHZunbkasG7PkWTuzdLWeR6mxvMJMjbDQDQR
J94ghgQnmZGDBsjpkUiQ8u1tNeY98VIjYk3Nja6kHnQOttrTam7a8s3NxXiS+v3KcUA4yKpxGO2q
cHLWGlFm5NCb6FoYK+fKHCw3uxjy9Ep1GZhO9pDrOLhGDXh32/p7CTstbM2vEnW6ZIvnGl61t4n4
cNNP8OmEu6AgaFIcwnluNk4GIRwnzyafm4/Yp8++FifLrj96Z7jLrQjUBjV9TzIjSBvQe3eJ8qZo
d3O9Y54EuM4KMsCLDQLBMJwPkbYkSsPYPJVdU2+LgcMuQQbZ2qNmfQSntgT2S98pzaPJYu+7Ut7P
lvGYsz/cVGmMfbLrIluCZLKxrLYh0pZvJltygPwWNG9ZDDf3SnScnp5fxrctIdhtLy21DSZzehQ4
aPlXtKtu1WY96E1DEREiy9x4HS0ShmX9cXP428+Y/SsGgp0P3CCiidBX2ErhfeaZ+dmj3Mzce6PJ
V6d2W7yQVLLuaKVYYTrD+lNC517R6rUt9nKrtuXKPYqdswVHvP7/chwwpfz0TJHPp9KJ0RpJwgXu
wXr41++DAXPsI4a4U2hHxzmPp3UWwb6qR0EQQ2bBthlC3V7hoYKFvnkZSRUeLX5GXtaQZpPzKQhN
6OX28txN0DRbm6LHrqt3ob88Szp+ILEauKuX6RukcbmyFSAx2QJqpomXIEVMusaNpy3Bxv0IPC8N
F1BuMI4WNzjTdK7ZtveCvf6q6RQfigAvb1GiVwn6kYioV2a9HcF82sShsUiSRR8wG4Klo4tyaE7j
FDj7JtJuSSe6j8bqjGjCZT/5XIP9mpmXD5oMGrJRZnr30/H6H1/6L3id3/9l8aBzvfA4L6kMcD6n
m59ARMFij0GNcHUCgpfuOQgoBlUmeMAk3qKP0j/VRC//9x/56Wz/7wn5SVv45c/87adpTINUA1PD
CXn1yQ2J+uC9xawtz0TRUyWBNyHyFEXHtGq4OStpkIzzxaJ6bK0G28DEfzSTFkmjNT5CclZgdC4Z
7m/McHlzo+YZ40mzacqm/sMT9+9FWueO//6dfAWcLPqLEV1/1Z+vZPmF95DNG15SLMvg/d+rNDY1
ZjuXsiMPmPQvr2TnC8ZJDGJAO3xchr/O6IzummXGb6uNav8obEFpxS8fc5bfxD34/bklBLTwWp9h
jJ8+5ogdczJKM7ykmYDk2pJnwdrqg/DcmBrzvJRUzqwMc+6fRRofaRp7gjoFbo8p0NHjoDGyMD7z
4pywU+PAvzdrDpcpRV9dc2GsHiKlp0rrc8Is9bBpfM6dZA7Ui8jD5B0ZK0Sc1dOp27JdKwn7luGE
eaBP0gZ2YwtzIVdi2DUqhd4+S4NKHvZSrQ5W6oZW4rQpB+FqUurD8COsWlmheU/hsIrt4DtK34wU
rWmhDkvUfIgIJ88RTfSKfsbeuqqXik28ybp6vLGcBXtMcBY6xgUUx4MVxYcp4VBzPaKhCztkeOQD
dPhWxBe18PZmbVynQ5Pe1qF/3tUx9bqRX66joLUuSuiBa/Af2Xb20pRR3EhZUfRXU9deGdnkr8ZI
xxWFtV0qII1xROHIik2lUa8TZ1YfmdPdYX+/47qGKx6nUXltNNSDOCLbFU29I4EVPyK2riWOlZC3
5uUgcqzpVfzBJhRcaA2fxK58agfo1pid4s7w3JESTtxassFpDKBnXzb8dWsMgxOxaA566W1sq4yv
BiwhZ0mdUv7htrtuMkg4jnBFgCriy1ErJ+jpY7URJRLjEhDjjhsTeeW+FvctpnYZZwlW8NzfoVxQ
NcuWZeoXxdVJ1hxtPQqFZbD1X5U2Sl47Y5n/6VH8i/P712nz883oQwDw2LSDRkMh+vXNmJrxaGbw
t062Gdc7Jx/tl3jWzp45Azr2+Wf9e/5Z/Kv+/fl38ZL9xemnv+bH6Yd058DL4qxiVJOfS48fGwob
wgMhL7hEMBE9fsV/LyRcVXx+ZhJvtV5d/FxWyQXHk5xa3G48BwtC8E8uJH/Ba+aQhcno+OiHnICf
iL2fTj9wpqysmpIw0pBH50ZUNOHdNBHuP4OEnu1HLYfMWhhpUEgiml0PQmH9c7V8koVFdSi0pDJ+
qitpDp136skJC6lp8RhLfJeP+Uiv1SqLyqMRpO6lXBhZptzceUVEiSsGymDx312yKxgRcPGGoViK
tQddpZzG87TMd4ZPvI29ZX/bDe3BHibvOZ+I17dpHGxHjBy5WTFq1fvRjm4bi+oK0wOg3trA5ctC
nXWLdQra4B1T703i+FdQoA+2jwXGN/ZG1T4akV+fl2F13sTBQcUiOVjB+Jh3EbeW+K6w3fso8dnH
+wEAiMyp76w2esK6dHD8epua4RP+sxeNbMSDwOiZdcO4x+nL9wz6npcPlH/F5EhD73kDQn+VKfsc
Fv2pwXOBySW6bArxQvHKVbeUHx3/0JjOYFVXIz3KYX0sZCbXRdWduQHovhkqAXdZNAFosxmmDXRK
a+PI+biExqOv4pt5FOGaNNOhj+i5bpCStgElI5WvvYFWiMmaKdIem6eM9W1W4cNyHbXsojlfKBGN
38DJKgCK8KNKa957RnLMI4ZQWpRPZQ1qZuzyeJMo9VCHsdg66qP3ZvPMy7yABHeDucGlFVuyPJpa
PBFBcNXkPU0JSYJOJ5uvPmGRCyPIzzJX3eRRexYMCn49L760q+XajcpsNZnR/DyXVNJE4rt0W2eb
0tFCO8/yJFRNnEA8A/q+aXzj66Csp7HGL6c6Dv1CcHccmfrJEp8KSXUZzQO4y6yWFfeIbYusk2G5
pELqaJfa/dscYzRyXGeHuPM2s3OvMFVhsbMTr30dApP8nuuysyt6pJ7Ot1zQFO5Mi7ZSGIVnaypX
UHN7bI+FQs7rfIlluOA02BCcKLl90FNP5R//4kuJ2ywJO+p2OoQqA9cYCCQDhngdx2fzYF4tPAwU
sqVynxn+eFMLtgPTaB8dJ3UIGQUrp+FrlqQ2rtIochBQzWoL/nokA904GUiL2dwKJ5kOhTTcldtU
ydH3pwVBwB23+Nu61RxjATa5sI+Y4HwzusK3CEzbti6dnmw8KtfN3BJoafP01HhcRGzr2+i7852y
jOyptFIcVk3RcudmixcqtFCqClbKc0CTkAlD6OtWE5GUlWPxzNL5xefGDkiIliZAqLEfTvht0acr
CvaM+TKzMXsCJVkhZuNdzOn6Iz/4qnrdmwMDAjLUofSoYRSufwQM4R6tiOB9pVlYOL0U6l+DDIw9
f0tdASmvhBd7GUtsgIWqd0ad4yDvFvOtsezHtChYAbT82lGN/r5cmJiyLHf3VYE02hqpiZjQVPgX
9M839IrVQgyQ3D0crPGU6HzguPTHlMBgPPK3NsltW0QJLSKFic4WVp8pQ+KG9LD460knEB2/5ydE
pgfr3o7kwrwriCvGbkKHmE4w4qM+93WmcaS5KiHkyH5y3xN6XHT6Mc8VnRojN2iCkW1PQnLu0R9x
Xu7Duj7zCFFGOk3pss3asHPlgSVpaV/6xC6Lz/xlPFyXOpFZiSTYFjqlGTXmmUtscya+OYr6vA/9
90nnOnMCnqxVpm1kTXs4u3/cJv+dEGy2eH8/IVznL2/vinngN7FRf9WfM4L5xaT7DgCghyzyKVX8
OSPobj7BS5b5gAWHfj3/WFoGkAs9R3AEUeL6CSH8c2npf5FsGQWrP9v6o9PnHywt+Wz+dkPC3sPW
kqUleqPtckf6dZDkrcxzzTr7qptIthF5+FYN862sBmIsQXRFjjd9YwgvAdU6X50Os/PgGJgm5PiB
q39HFEhA6IEIF/mQ3MqchkwJ8SJR4auKcHtMuaRLvi9vUSCivRlU4X4caO0rcpJztXztneTOG5Zv
McYKqim7fmXXYk0mD5aOrMmKYDoqJB1XTlDuqGW548/iLYWiwm4o3tj9bNEO3QOiQfHrsuBeeBaK
exZ9T1v/UqjwxhTTVcyrqEJZXQ3DfGOjjeyE7xBHEMP1ZMtqS42Gt5I2iKQiz+Cz0f5C06nTEEg1
he72woNnxSyPeHm3WNg7H6hf7WydjHr6LGfT4xRcq2rxVQXQ4dFie8fZ9vhfV41yE9rf5sNi4RXu
ytjX8PwHN/heUNOn7EmbR45y6B57k9xPnbYT2Wbsyv0MUdgb2H640/yOY/AwWHInHYP5wIwfIotr
YOAb69zPm5XgMGH5iFlEXo2JZF0YrQk2P1SG+9r38zmdGOiqoFQciXnIOvRhdkNcmvCQ6936/AuF
0B7pHFK7Mc9PSgQAX8zXbFqAtZiBhRIEkDGQ431hi6fUD07cvuisG0rWML3V6ozwuZX6X+kTgI+0
mA/JkObEGlNa8sL7elKnujfOI5UF5Djyd2HEz9NgfK2d/mKKp1uKy3amZzz2RvqWM0iuXJfcqqoj
uVryCkhmS/Rynu/MHuMzMvglP6aLkfpkbs2bUHzg5t6GNn8drbLVUvMRRXJXxemZl/pYYyKJjxS7
qyqrZ6f0npyi1aXB04voMa7yIccto2eTgbSqNeTfacz7Fig4IWxd9+TNjoxBZ5XXfScAgfs8dr66
mHEiLocrJt5ry6TyiR7XCeQMc6Qy5nRjxL0PncTXAhS51o5/pKU0cHODvaRS0L7tvHrLDo6MRoHq
3HZlfUTXj052Xz1M7VPeHCjYcJ4KHGrVzMEeR9w5l07c03agB0EVHMIMRFIFSWUvBqDcZj+Kdd9Y
6XbuY8QHo/7Ao9UFtPM1He0OcZjO267A738/sOTLkNXwugf0qWfirgwdDL9G5DwkIqU80ervTICZ
q3AmzVrSFBWMwyb3Uy75ZbCf67HdGGg0sCFUfkxqIfVi3NqSoHmqBhd2xMLjlsd8pMux8yjXJatF
WlDj2zaRH0x3fk2fSRXHV1O8fNe386SJ/A1J451JgW6fFSwOiNZtS8+PN5kfYX2Xp0mIFV7X9WL6
3xKXWl8fG3/nx6DmukMCeFKRJcyn6jpP+h02+m69GO15VbesZobuKOIyOuXZdJ8JTAGzY+2bQJza
VF1PTX+vCUDKAfAVheNr64mHqnIeCxMqqx026xRC2qpplgWfePLAWhgS+MIb23es0xgOOJuJza2z
OL8wRwKOjmWvaZpmSO9crElk0OzG2Con+5iX5r5O5UPdJJesfl4xHBOXgBnnAWjw+gqGUxMzZTUj
l44Ok5YZWq/mlN76dnnBDw9TcroAY8rkfTEwIC6Q0Nbu6MfbxqcBZDEEpNOAQh1oprQOuqwtDF1G
c2pj+4C2MKyYd27TnlPAto6UR59T+3WRublas+HrqBf12IkPBTNpUlCTKn1yFQWG8jDr3g2cKbsq
aNJd10Pkq2tUkTAwtkPeE3IsreMShS/GXIClWO6N2WGLPs2EhJr0bqaNbU0u4KxuSS3iN842Mmre
aGZJVoZ2LVZFeZ/4Hon8+i1ZZLeOUHi+Yqs7M0r7XurIYFjz08glzM+ezhbQBxwb4wE1KwR30p/V
KW+HunsL7BGnWZHzWWuLnsVObkaGOirTmocVKxt4AV7Q7tqwa4Nnu2g7+QeL/N+JSG/1/34iuqy+
V29/MRDxRT8GIqRa7W0KWPHy0ghc/tPPAxEhZGiJzESfPqofAxFYTFjN4geuWafS/yPifgIzAf6w
Zgmgf+klzD+Yh/Re5ifFCeULXdVnEWlZSKuUKWIA+0X5qhrBaZLG17z6Xfx+2cgLx5VXFixHpInI
0B4jcoujp1Y9ZX/Bpk0k1eAQfjtAHn+Q4jwrCj5GUkSKjEr4QpFrCtdlLHPjHF9Ki0QVpzO+qsUw
omuQAfgOeanFunSit6d+Ql5aclKNbRCyaCD35uBdnT2izX3HhIcBc6Ynnrts0sRncuzRRPLU1dQQ
hJyzJlJBym4EhKHXjLm6ioS+o/cORK0trtjKW2W+tzGXrjfe3STo/rUw/OH0d1A3/v6jr/tcjtVL
0yd/YT/UX/rjAbB1SB/fIbah3zUT22I36LFKxNYvhWf+ZGMg9I/KYmNVsExAHj/bGNBgfOs/v9kn
1eofPAAQBH5/AtgW4pTgtiLYXNIf8+sTQMyRRicxq6uZiiFe4XZvkcwtSz/FVx2XV4mguyGmMtmj
Ipih271pdGvwEpm3TihuMwXnE5kExl98SAfwKhQOD4x5GYhUgyLinEJin2LixeaAH8T0yhx9YeZA
+hxKjDGD7cJIXrSUG1ezceNRdizn8htcVijWzbsv6JvDBY715pBRkhzzCBGaJ5Djxw8KnrMhTHhU
+aknWcSK50SHG02+3nTh+cveVdYart+9CyMdRFy6zdX4SnnoZRhwg1fOMwGu/UClcxl6JAuC80E0
p5DK5wDmTgC5OYpripu5jFTNpZrsb3DIzmL092CeV0ZWXaVWeqJGZjv0BAapmI7NAUxWex3H/WU0
zutBV1FTSe1QTa1syDfBR6sCe1ukdFcTLD0ulFmHIyRLD89GOoBLheRJ6XUcLXuD2augDNur1d3c
znihp+QqconmSgjV1Ge7lIMuc3tb+N1rSb02lY4nnFkXA7XbLtsNtlhnfYM5n1pucmMnl5ruJdQM
GHEr9UbDp8i7043eIh8vM93xbc3NOQUvL04lbgNKwGNEMtqp5VVPPTiZ1s0SDQe1lLB1jNs0mA4W
deKimO/ZKmK1hGhC4J3BgWEpDs1mLYvmEliNztrRT57PfbipqCyXn93lDWzMGqRMNNXfbLuOV5AJ
XkkhU4itlK4/b+dgZAz5rEXH/RYfus8CK7HoMqtUeKWzH1TJAs4iNTdM7YHwtbmvmh7kKYTErOrq
I5E80FsNs7SFo/NychcCziQGVzmA/hU5RnjbzpLe2paNY86kWqYDcFICPSZi4m/5Ky1rArjUiZe9
JIQpUfF8M133chRnBNZcqDnzXSKwoQDlRHNyvGy39AAg6X2hHTRq74limNDE+3mV5vZN4sMkXdKP
0SWMGRj2V8MO3yAoQ3MQVwtsY6EyvCnZuMnGgS7a8B0b/aXPmsfAdZJeqr4btvzaft3UdMs6XkSq
vbqxq+Jh7IHdkieh0A/n8nqJRUbYW7xC/aftVmlOUNv0m1YEp0SRGZNT+j0weAENgllrGPCvZLb/
HtXBcznb99if3/n+41VXme16nh1KCes5WsWFU28QAwgFZVxDBi7Lda42pE2BmBdHXPEPYpo/emmy
YPOPoooTUtf9lgaLBwwzW+w2zWkOxwYaLEKm3RveZZWHdyxPiUAGGaXfupy2F0AlsGE8jrgEN21D
2rbSl7uJUlup623TbDqERr5PdfFtsAxPi67CzenEhVTwGtORO4mBZbKuzUUJJDJIka6kez7S1bp2
Y+/8mj1549j7kPbdTtfwckxxYSYDE8HH7mnqnSOH39wQb4ku8fVwCQd992rgy2lttOApNPEghN/g
ZsCrJQmz2D05Dt0N3FMSLDqcYYuqv8Yjt0szneftpEuFpzB8dDQjKqxDyefL2RGcYtAPRh5RTFXE
Q3gsWW22fHvgE0ybxkhdY9yz9kuyZMRGSsNxsnh8b8Oxpvt4KlBm5qUHO+wcRtxLcTeAZTWPna5N
zg3k5YSL6qqnUzmLzbuRjmW3jL9aszRXA6DfEiD/yhcgETyamUE/0KY3Z/eIKNwtCxAGuazz/i6O
s3KnxjaK10YVitXQUGBopEN8EOzCidyKVWmixpgLszed5AkR0KJCS7KPoAdvaj2oSBoub5KKgqnP
V/C/Y7i2ZP39LPJVJViC5/8dxPWX/TmH2JSDEy0EGizsACfzT4O48wVPs+u4Fk2zzNr/WUsyaxM1
DCSMTBzPTJrYLX54KZnqpTTJRjDS+6ZeZv6DKQRD5+9TCKapANqmHfA/fCva2PGTdAl4efIaoofX
pVULcdnaPQfL3Cdm4a4YZAktTNMwMAfI+q0ZiuelWuI9JIc7YehIu3ydB4J3dR+dKbZ2TZ2UbAnQ
d3ohT2ZnNXxAeSlUNe+lsAqGDUSyeGfXHmXIdXQyjDDTx1+H46u6aufuu6FDhW4wfideUG3jinhu
QCARtsD5JKj2coL0UgfdlVm5m4pABU+bN2w6qhsAuStOKmQI1avXgaz1UmTz3rT9V2OydjHLTA7e
6EzK7lQuGbHqDDC324xPBNPu827O12lm3Tlu9xgBMd2z8/NRUBzvKkpmvahh40iVktpac/Qi5VIB
8eWO7yNlJDRHVRpDCxb4jou+5kgkN5NtHgvTfYeVsHcg2LYiOacLg2QlIJsJxi07TH51cFaY6pH9
7KGaIIKzUn2soOMGgJfGCp6M8waf+E3Z7ZVakm8uQN1M+MUG9iqMXde7JjloI16NZwU55VXa0Za1
GD0yR5bctYlzwkh+Wj7pvWZi46SD6Os2fnFILe4zrub9jqa4NtyR8gsSLyvXoOaFUOV5GtNQkGpi
cBPll3HTE5sGJuy1xhHlk74zMMN+BT7bDIqrehZUkGWowqou7T3s472vOcVKA+xqHBz7TMZqk2qe
sTeE09btbUKJOf9VzvaZisaHEAwy66Rrz+wpVy+ZMY2g2Sv2RJNts80FomyTVlxNmqtMYg8/Dqjl
wsCLq2wj3POgheuxGs5NySHMj4JfqV5TQ93y/rkGjXqIUqCEnp3u2bzdF504C7T2mC3efZc2K7OI
HmhueccObEC8tCFEa1b0oKnRfr88QjoBam6zPpT1N6OHMJ23470RMHLwpThZNYfaGbK72bDnLZvu
emVZ1UfRGpj7q/oS3ttVJniPd8CXVj6k634axu2k4ddyLIi0psqnqCaxyZUGZxC5SOfRRvzShbSE
my27F0dDtZ0s/daz08mTe6cjS+Br/DbP2kZoIDfVqN2+ZM0JRUDVZ5NFKbBTmedsEmGSs7Yp0sTZ
cCW+ofImphmmWTYSAniiWRuzhoInn3hwOOEhvPAMA5f+rN0J52jMH5nZEK+P1C3b0K2joeNxLHHY
Vg/ccT64UxHmkeJDLeZTALLcHPNTzT7Z1ixztzXirTczq81Fcxv37UuOSwHB4+BXy1H0AGiUpdno
E1Oi3+rM5vxht+o5Mvrzsepu8tq47IY0I8LabRaA604wTGs4JmxYNY09ZVeFSwlCu+q6j9qAG5Kj
/bKnlC9Jo55BD5vkIunHsDXrfRp9D/4Br+bWNfx1nopHTt0Gl5fCRgEuvsOPgq0b5g0H8jmd7dM+
avt+Fy/DsdO8eRvwvBdPL2AtIapqJj2RLYKWEZz6VmD/KLwNczmYpXi669wGiiP9NvkEToHB2N6W
pat46CoeCd9jR0l8sprCU6WX+6IPp7U0oju8HFdVHdwFoThzptlfexD/US1yiFhQtyKr2UWdnz8y
GiTrcBwuDDwxgLL0g+2m3yThTOSNMdtxrHKzsuPXqWQ3AQ+NQG955EC/nUVFvwIXUmarHs18sFfs
kLkQaZ4/DFDABQ4SsVd9Df3yGIeeWGdNzuVxuEkwj4KJKVZh4nDjqZS1LaOcrx2GOxdRAMm+f20r
DGBBrULKgO147aWNQTzZ+CAiyPsiVsneD4ybcq5ePYdnu8mlvxaF1lymCNpZuJQnkwUyJI7m0aLZ
GBI999hiZrHt2ERNY+7am4oz261Lc5eSAt+BkHtlcfqNlbRY06u7Y8OLwZof+YrXnVqPDmJ/h0di
Rxyff9MhwYrijGdBJGiGYoDnocGs24vhPp5BOPBOXHda40hcCOuuxP5AEImPG/7oTZ9q6no+JBe1
sXB/EJSsGE614oZJt7GJB8XIuDZSb8ld4LtbuddpVL9PFr9dK9JHNk5IX4o51OvLC/IIzQn2/iXv
/2klZXlGTONA+7Rai9mGf8Rq6bHJ0/zQsuDGe9Rs8tL5ZnCLoXru+9jkuyBM73nZm+cYMGBW+cGh
TaIrQLNfac8+c4yWNABjOhfMqsc5OJ6FND1JAnuraoCDOyp32NhSvsGuMTaFAmnTVPWymyv/1gqL
Zoubg2FzoYGsrgsuInkfHkw1v3gGH4YuHuwd3GcWypSJ+KFxTKLoBaV+E2WYwKe05qYIupOU4DUN
8taqCigTx1DyVmPo3nGVehImN4K08a7N3nuo8EeGdT6dLZHzkZos15wBWdK2Vbz1pxJJgr7tVee1
2QoKFx+/1EIkSuZg1SzWk9cOp0CAmiaaAEbI4NQmiRFtUskSwzPSF7O0L5nroSfDAFo3Q32eDGzo
uUDs54XLXu+4XDrN7CyNYD0hffC+60CJNjZ8nipV+ZYmoe9kvCm28CO1G/CCsWEfhk0FeKzKKFiY
De8btF9rFUWhuy4a4yuGmXtqdQiDJfgXxvyib0HxRb3PLr6taFcT8V3nceUF4IAFqYfhaCK5lv11
lI/B2mm7cVsAOAIzwvPkEJyeIqwLdlYeDCYnHsjUBFTbvtZRoZVXHnvSYZTCnTUecX1dhDKyBjVq
78Mz4YnTrbWRhS44CzJcn1ST0Z33NszqPOBNjnnNfSO7tW98rl9lZEFAcMoNNz8UZC/7FhUF16VJ
2Wu/xxllFCDJX00/umAwACYhDPwgfXqs9Vqo7lPMlEkFQVbx3/zsKTJcSMRj+tVSlAkgX97KAlaC
jS9OQEiamLnYPC00vtVVuW06lrSzi9sDfY2/Dh32K39UVLFW4tynFMz3Z80Mb6hbH8cPKARQsAGz
b2kG2hGVA8qinUvKwjZVqjWfhUvHS7pt6RJA7bP6jgIOGFXSchgvJ85pVV5OQnHz8sTR8rs3yM5Q
1ZPuWzN9WprMe3bIx2nOv9qC1qWx5UiV5uuga2t8eLP40FgbVXl/UbdqV5oYds2ZTUFQU1feeel7
oHc2A1JQPZXvSwF+KsDvF6nlYNsEfVhGUXZ+Xw+ohi1Tnsw4+uKGT2YcjHJPWJhvspd7oIgfXsxI
J6sJ3ZWZb0ix1QKG72V5CEN6OLLyJfSz17Trr4RojkXSWZsIFDXblP/H3pksx21sW/SL4Ej0wBQo
VM8qtmIzQVAUhb7v8fVvgbq2KdqmwvGmnngikyiigDyZ5+y9NpVSrUjFNa/HUPZGnZm3XxU3Y4Oq
V7MJr5BWoNguW1x5ZAZODFxDmNmL/qA/1mMBQKuEsyZ6zpoxXJ4qMJXkKs1n42Gi72SdKgnq8FWq
t2UPusogJq6U9v+dQWlF0x+mNfzPZ1D64QR4Os/11+e/M/YtP/z7SZSREII5DUctEx42we9HQgKn
ryJsjqEKo5llXvO7Rkb/TcYjgKqVdYy2+MLB/f0witPXwD1vqSr9a0Yq/8qQ/9FDAPETGgC9eiZT
yK3VpWH+7iiqhrI0tFOmnUKOmc1pHB/f3Za/kXKj5/l42MU6qGGzwqCA3od3+OcrdH6jtb4+dqdu
xhGGTY2E61Pqx9d63X5vsbHVjHpWmabic5XyHVqebV3FXmfCwDIWI1yBIy43GZM24jbuyJLBMSel
CNYV+0iDaATngqduJodFfrPZsTBX6jnIFvvdiNQk4Ca6Ogmh01otprnh5KXvQFj7NCUJE1Tx9TPh
ikx28lH6rVJShLDgBz2t4fxTM1p9iFPWGDvRXrpwxGIFhpyeV1gdENtCnJGts1makpda9YNdB+AC
FEQ6HOwH0iKZcqt429ZyTQmb6vzQ19ET04KjjsnXtrPpOAS4/siK2UKmmVe1X936erohw+LCCpFK
znP+JAmGvLI2fs8SCSkTFazJmNR3mgWRvL0x2QhKotyplf2UCGmbl92+ZaFD6zxdjYm1j9k0QFur
V3Kb7CvTfPZlJusscNsAhWOXRM8tDgSnMXFGMRdMg/gsMbVne78KiV9skmAP4WwL0uOo5QRh1Up/
karobaCI1yU7bpYwhHqkQERzu52T9LL2yahuZpjHEQjESiHXXIr3mqTdtqnMSWBmH6jO2k2k5oUb
NuTkdVa0m1Lqih7r4Edj7BnVIv+D8NtpiKUF500Br4VTSL+mH7ofiRaxtf5eK4h4CvWT0RiPTTuT
7aNdhxkJ8p2PiU/rL5Ah7oppIEgsBlDHSTCzh23aD0ewEzeGXGQOpuh7JW++yL55b/jduqiNvTXr
a2msnwytJTCrtTeS2jwW/PHKlBH9Nc3fktT0JjN0a5+82mQ8lkOMXaMKsIdPLO2t1SjIyX1sX+YT
bwE75Pgx8PGSjk0brznK8thU3wkI2loLDlktn7paPEqSuGnMhT/nx3T5bVfo6dc58a+QjMxOOAVH
oA0JxFx4bZpk3oZkENEaD90gIlRQZNlXW2Z3KJUhffPZ1JFUUhyjyCC+rwQApxs3sa09oN4iSEhh
6ktgC29PPNAUiQ9SB6FQqQbyWNhaLILj6xEDrNtNXXqAXEMfwFAbz05LiJNa5HtDY5yCVjHIbTU4
jSLRsCvf+kqTBZgh/I+ChrkB/Cmre5/91CQxYYmjPjqNdWQcq9KAJsCt4HhdEu4iJbTw0yJcaaFZ
s1GWhNfOGk7V1k+uCws6JnJmcSD3DGjIRDxAVR9aOuClVja7HJqAI6uLO0Wpmi3HqNgLou7IwBqQ
X1LmG3nWIWDNNtKbJQ5ES0uvINIUK32Unk2YBcQUS83VTOig6/vliz5PX2pffTaTasv6dhHDgHRt
WZJWpF8dfQYoy5hFdxJDH90WGepNsdgLyKjyU5oF+fXQ14OrKMZZiyz2rhy1Yw3Fu9whBM4PZkX4
HCZu/v/hKu/YYpWL8LaY9vhAt2wNFu24W87tMY2lTaiHFyIV9wkTHrUT+8H2U1JtE9xdWD2bqCXQ
i0waueX84muR+bUcaMmj9Fv42dWQ3SZyNqz7SN2oZhERkgNDOLTmhA58VF/MVnJSlRL+SHMlV0bD
fL5xxgyf0DzoK5a8nSL7nReoRr1Lp/7OkMrbjDy9juDAFDdyR1MDZbbNmtPtB2EUT7m2sLMj6Ts4
L8BiHR4sLod6uDQ4WgMnAViQkFlBP4RQLaZqG5Z+opgrrqB06W0O02yF1cTedziM9gDLTjnUG3KI
VWvXJZiNtcK8RSrOZEaLYU5n6OhWk+b7BO5Wt4Y/3Vq5Pj/Mfo7aoAMNxf6VZuQwrtuJjn0p4C+i
PSvclB906l7vHuoI09NoTTQP2OGFVKWwBc2Y8xUPGJGsrCYHpHg0+hK+GGMek6SHZgkyNPdJNd2J
MPb6CFd6UYZ3XarcWsCED+M09sQJxvWq8NNp2YsPTinEI1EpMJ1HrXroDPDmZZEBjQ550M2oQ9Dl
qw/KSK/SV/SRTphk4wMQk/d5eabd/U4R8sNpZYB9ZSJPUDhUkZ+Ls5Jl2BWDOD+14GX1cd7pxnA1
1M3688ssbfW/uQ4+Ih3TIq/9x01Aa9IWDsL8lKXpRWMod6xKl1aWPbFcgsGYaABhONv2Y7lOrWTb
KCFWPtp1Sn5gpTrq4NdiO7kK/e7aqISnEn1KBomTB/5r0RlMXngFCJU4GeJXxt6//eTIdRgLaPoC
Jfj5DulZV0StneQneoVOMN0u0JCwOH5+fz4IlX+4h8n0wU3KHdJ50H++SsMZaAJv2p/KIGwcydB2
asHCIPyKutH36D+l/gFTQHGV2zyDttgNFiKwYoKG56ug0uNsHUpzd4WZx77JqUpdAb5T0KjUioFS
rgDa14vgFGGKGX3GaoPCe2NkA2jzJTlcl9PnBLA2ebHRZh4qx29kwwvTiFz0Vn2RamWNT5NoAbUC
WApIyi0qdROHIEEpRWxtQmOHLfEV49DzaOr07NG9jWZ6Mc1mTz9lkmioDPEFhj7cCSO630BmfBva
dCjkKPjid3J2Ww069UMOjnpW6uvGKNst3FyvLyhxMtaMKTYTrxTKGb15vhpnUIwkCx198dzRwiDa
lHXx0ZKQjZqDvJ1ijXAb+hV5SSBqiaZJlcSKLDyKGK8Z8jwkFqOUbeuWuUsmjwAM+2c6hOHLhLdC
AJym3Rviwl5GIE21ptfGSFIZrzPDSE92J9OmnMcDPqUf+rp/RBQwBfr4vuBg54VcXJCLYmVxJb/f
lmNhLXL+DUyWrDyrdsNIt+zTkyEhcGA9fQoazuekdbuyAYs8etNopxfcFSStYQLvJWguoAo6w6xc
6IX1gO4zXDeZXq27Tmi7TFdAeESkvgLnJWCp0LKtQlFfQduvVsyL2Y+wEImsyNG1VjdBFtHyDZuC
asCkGCYNVFiw8tn8UhfGs63oeFxlgnbrTLkz6MNruHRX9MmJIoSHWOt0f+vBeIgtYwd74Jthjgmg
A5YB3FRGPt76NpFMmLeqQoV8iVUI0FY3KTfMei6SOLwhuPY6M+2NMbUPFrRekjEIVzSqjr1g1XtN
h3jA0hnek2C4gutF5TCkZ4lnwi1t9VFWpQc5BNRZcZb2QhOq4kzrSBoLT9bqjcD8bENfVgoaYGG/
0hKGvJY1HEwE2IOMv09Oy6W5e6vCFrOtcdcA/FEH3DlYoXPT8BB0IynJVwmgPToYRzM31gNgkdCM
YjfKTVexoysCSpPdZM2Ev06ekULuK9nQFEbAuYSXsZfsq6Fqv0P88xmrMVfv0KG2ZCAYADEVcOey
bByNBs+OWvEtLaQPLZhdsuJKJ+nCo4SeOJGH+wKWRiBFl0u/kDiJtZJIh4wqjoNqa8npY182DJec
3CZWciUzkFql/rBuKe9QC8tVR/LtKoVkFg/WYYbfQNJoiTQhWNzDLLozkUExKiVEuZcYtLdB3h5I
nT3mFnSjtk2lc1oO5XZKzb0WDIeSaAyo9CRIqGWEQknE25CpCFHJl3VK40rNvIJmCU30S0P3TGIy
ButEf8TAD4fmxOzvS0GmaSYu0GTV3uhrxzgcmBXQXTl0Sm/SoJFl14z9fENs8apk37AtprZZTYa5
rXt2ISZpY45JthpBGfIvStsv3lT1g6JMCe0ptsukgy6Ki6y5gPDvjj2d+eGc1Bd40H/4lf9xbeDg
/3Ml/XllQBH608qghGHO6YKVoSheIVD24zV41zx4QJ/zeU1aQAV/uRIyVk2BRmSi9Voq47vWwNC0
6JpFP0K3nAKvjMZmgbEv3oBiFxYSz9zYH8oSH3iByefCWuyfRlxgGlhYz1BM+GZk6TtB8FdjrhLD
qnZfpKg4F8K8gR7jcOpx20ZZcNAj8X7BGjPAUx5r91KYltdBB+BaD8N2k+ndQY8FflTZmzAjuGzx
NkTamfe2Yt+Uc7qik7LvVCTyqnKYA7J9S/s8JMGhpmybUnJIlGWyIzlSiLmtlO+zsvai1N9hfEGk
RG+w1bNnAnd1Nx2Cx2q063slWCL3IJf84q7+3G/5Uejf39QPmJDE0HLcQ9Z4ssancP46WT/6cf/4
ePzq938oHEJK2SMHyXSKrBu4s06l3v3isfj8qTA+PH+ZkSUiUYLppCuXkSY73CYRTj+ULf/4Vyx3
4S8wFQ0SJVtSoFPGh0dvNJuBQBH+CltxlfalHTL2JHfRaP7i21i8a+8utLCAdCg8qDFofrE1Xfzv
75/xKY5ysplL5cQ25oWitrpN1/4Kwb8TufdO7tzvDLc/fr2O3PDL6D2n3vSVN7rZqrvP7+oiNH/3
QX48F+8L/ocNoN1HdrnAmk7tul8JV3jjTbfBb7m2vQWhsZY33Oe17ALrdUKPjMXe0075y+efYpGn
/+VTvH86l8Xn3StP5F5qKYBjTw/jTvEwBa/tS9M5N/TKV5t73T2Snb6xT+F63OY3+vaWII/NuGXd
c+YNxthmRetsZa+kY7fNN805xBjjBKsvhdOdiAnd6Dt7R8D4tr7L1jeff/QPMJS/vlgfbqCkNBGT
alhSulM45bp5LdflrbzC2bKiCb+KvHyd7YvN5cvR63bMGkY33qNu28cnfMyuD1TJ+ea7Xz7/VMrP
zc+/fKqPJIsI1VdtGnyqcAeJ1J232ca/zYUD/ppYFsd38Ks76YZW/VZ5opHmfX795fH97D36sNqw
1EhTU07jScyFZw7DYZYScnCYgXx+nWVV+ew6H1YdiwEdo5d0OrGndvrhRYzbwfg6qV4lSCIt159f
7e/XuD9Wh4+HSYmUK1Wv4u4UMuqc/OsyuPr/XeDDmU8dAYgbZA2cEv2gxPQBbXP1+RV+8cW86dTf
vWhSVlq5OfGiFeWpyZJ1qTzMOOo+v8iv7tOHxa2R0ybuzbg9jcu3gpXbHmP380v86u/48IB1xdx0
CB6n04AmJDJOWTK6c3b5+UV+8XSZH1Ylww+kieYc1QCdjGbnXpK2Z1XtXJOhYDwopx5KzeeX/Nu/
S39zMhAUCdDp54XQwllA9HTbnTRieGJypiGcGZvPr/G3X8+7a3x4aUBTNFIVauNJjzX691dZ9ouu
wq8u8GFJnJNsVOOi6k+CRZtmNETgX9ymt/r42Yu/FJR3z3EYMfTxU55jzgYA9Mj+2JIe6szunimv
F5w7J/tFhicg28/XmuWvfndJmf6f3CohNeqBxnDOqnoRcG1neJaP8653LkFc8Q+O7pHc5VhXknPd
ektVv3ysLtU9p3ag797UOtvcDTe/+nh/W8iNd1uXj09OVA9C9nnp5PNSyCUHjqy2y2XXSTba6j53
9mCjDt/FVw5n9d10QPjxi9VLWZanz76UD997LzVGWNkTe4lVv5pXAB8Uw7EP6eqaDISjuulWj8ra
d3I6tut6U24sV/rFCv2rj2B+OBVJY4coZSjbk3QoHBLP8HN9gzmxMg/d67gFM3k0NyBsvgePqjtu
kjPSkNfP3663g9cnd8H88JwkvZppZGxOp3pNDK8jO9Gyq9sl7m2/G3c7BDTOfAJRfy/WxSpblxvz
Etv9qvPC3eCET+kvVsq3g9lfPs+fr7v+4ZZYEslyHJW7U+VpG2NjpKtxPa/nY3SQnZdg568T19qV
W5p6RyRod57F7iD32k2yvolWyybhf5uD/+TjOi/EP4/ub7v0ueZh+si1WH7qj5m9+Rs4fIEMXOFs
wGjnT/X4G4wXfBXtOXiPnBv+nNkbv6FlXHTiuhCsAEvT7veZvf4G0dcZ55saZxom/f9CQA4v9ac3
XBdc2JY1HOr8V0ZIvpSvd2tg4FeQr7ICHG9KTidx1U+4wyhRSWvCyElXU53e67IfuVPhX0S1Nax0
eWjcOu8vGYvviLtjXdIVEAv0xBopOoQd4jkT33WhRDdCJN969J04HnoaYtKAM3lQLooZFaovjMDN
mvKcj+J+mI0naHoPdgWSzwptbe0vLg9bIp9UkyTibkIML7hPTPzJDkC6L7qVP5VTcdeHqKKLtqF9
bRhfakDU+Zjft7Z0T8zLITRM6nt00SfhsS2ip6aANBzZ5mWt6hAUAsvL+MOcKY2MjaIUrOnFYzYx
HNFidebXLozidNha9nA3KZz1YYuvNW1uV0qMiV0bIsBGkvWtCnHIsNU7Nm16O6BOd61A9/TEuiZD
8VvV2JcRcArGocyMRRC3ng9Nxyr7BwJfX/y2ePQr5UyI+QtOBNvtkjrwunwwtw3ZcbiKyMZtmEwF
T6nCMLRMLdqr4DScoSxeBtm+SKSpXRG4xzRIYZg+acQ1RhVNULYlx7ZhUq/5dHbSFdykGhngsBb1
sA9sexso+vU0999hGbyaWX2rRsEGW9dDFpCzKEw+JF+SLWrdGQZQPYpAZ63APL4yaFCRBfs9je1i
5ZMbVAhfuF0dN0ReKvdaoF9r7eTTUU5utUD53ilGv5tgOToKc721pnYPGYH1DYm+DnQ2ZIOMdvHX
xxs64o8k+iTYDLqTEurEiCZmStuegCKhSaTFJGtBQoFjWGJTtSG6iYQZclfyrWWtwpQU9tZbWnBF
RIwRNc3Gb1AFInzcL6MjVCJMjvVhvjbpzQ+5vu5QoREk7i8adbxAoh2p9nND67LjidPNQXKtmYd4
avgOM6UMgCfNN8QycNXcQizXr33R3cyWuicnFyWmkgJmq3wy0VPABn2XvLTF+GDhRXFMo/wqZFLM
8sLH5D+OaEiirVHVkltI4VaAvlhJZpK7QhT0qMVGFoDnGyEROwNxyVF76zWLqyOi8x5XWlx6DMh3
RjBNMF763EMPBviCjCMF1i9PI1HJavu16Uh9ErUMHWou50tMI8pBI5Z4NWKhDXbpWwhzkgz3hAvX
vVe/hTRzGwhsVlozGDwjAg9mvEU6m3SvidBryxltXJ0ukwMrMy/xkxAGPVVReKlWY/DI5NFrUh4h
Rws1/1QyBI5bA337MDqCLPTQtIObsBIoiW19vBKpBNajilQPJ6rK1MdKiZy3jKba4YfzUf1GYxu5
FvmysAom1ZWH9KoojLHaiFhVHpJBCDARCFZYZ9JQXo2G+SKCDuINaVU124YBA8vCZtD0ysPwYQa3
4i2MQ/H7gHO9OishGrnM8J8SPQq1C6GQdO2k9tiVPwr4f+Vy2bz9c7m8eK1fXr/9tVwuP/V7ucT0
LZCRAThZEiiQtP1ZLjF942o2NEoV2Mc3hu7vEjdiLsCEmBCwl/g1AHV/lsulkkLdtSnAIJw5f/2r
cqksp9A/t150+ZC3GcrCPlhyZyAz/FwuVUkZ5LZKkrMsUBjviUUrhRv1mSbdWwX+Yi8zapIsuyqu
ruRFWa5ku7nOtmwThR9vcvIjwgGnA5GY4ZKNWRKSCa63JgwLscqDH8SjY7QQdia66VRH/zwlyzw9
ztptqeipGxHYTgz4eZTSHgeP8uyD23f1OjmUYr7MjREQgl9/weK1KXVCHjtr/DKL4ZtRmtelWvAL
1LncBqO+7jur2GqNfdUG8feenAnc1ZnhtDjyodO0yZ2P9ljSVNwPYmpdQjjPVuFfDRmpWsi0xDYw
Zh/crrXtDTB1WYIM3VAeNegl5LZOndfHNAoKTo2erWvxtlShxds11gC98A1SncKHLqla4pNJ3A4S
P4EKK+S1GubI9iUVBNBgtOEWdV0AHaqUTbB7pjSBzZTSbRiCDEenr28aUtMO7GGCa7M1x3ujJwao
MHnfm5H4kAialxvIkXyaJm1fjZpySYYHbOEGXZRRYbXBtNGswyJDaNdnXFqJrXvfrgC4v5XSkEV+
6uURr0HiN/tYrgEEgZc4WGW9KEXsCcBRI+dVtNdMMu122HAlahd56f1kJvJXuVK1VcfIwKzi+CIE
5w9tDk0wE9MQlqDD3G0t9OxKg6k3uONUANmsk9e06O4xMx8LIYJVZg6btE0Sl2QlEM3SRSPhbgqB
9+tliuI335dK/ahIyTEeMGdXSnarkt/tkX39ouG2UwLzhFOwa0FimsklWdKYV1S1V+FD6mE8X8g6
iXUiGUB2xIarQknaJVO467JFY+YXOVotha3SHLzM4wBDXtBzLG0cgwWIQfx+eeiCRH1hUl87MNkS
HF9MzVSQ8J3cokzH5z62I9pIbN9RjxRpgmbg4Iw5tcZAoLPQiy3cVdBMVuCNEf9nzO8NZdszp5LM
UaHnTqrbbKtmrd9MYcSBeBS4LAhsSgCHOVOZNHsh2oMRjaTg6anCWAavlciUJ2NEJ+hPxQ0y8six
JwT4ft6YpPDhI48YNS0pFUgWzdfMD76B0Upd3i7cIpzsYym+7FAv8gwoniw6k7jRiTGjvMQkFYON
E1px8I4Gq1zULeBWXPBI5oKCDXAUQxPbY+Uqbt+Wzf/qxxIG8s/146Zr29f6r/Vj+ak/6gesQA4y
mGP+MOW+o+bYAEBsjkyolJSFcf57/VgwglQNhkSEm2D1ZdX//bgFRlDF/SuwvxH7vBSk/9dxC4wg
sHZw79pS5MyPx60e/1RbSfZ0htbQrJmx5V6jCawviQq24wAgYSSGs9dxmOp+XgIVBi+W6RvdSlAe
1jMBSaHQj2OO/62Pcfx1jbbneCfcdFLJEJOJ2TCQ6WzHviqvFI23CNkpQ/spYKmMiwcbvJ4r6eIl
rzDTkZ92lUUIbP2hSFF19shTAvM844Vy86LHy1eaCebHAXCphYS4iwJCgTPlKlEl4pszAGSZr3ui
DvWtZLLwY+FsdjL6BQuYSK67UZlcU01fh6S6wbZ+LDMgBDUIu108SiNHELKM59YuzziFnkA5kl3J
b/FBfZJ2NYCVg7ow5unKH+wLgZ8e5kDqjEF/JZL5S9aVd3ZcHTgdPQkJDVGZ8WHnQXFhlhw1fcJm
N+gXc2l9m20UmRP+VoLe+8NkEvlJ5Cj25o6+TUjasw1MIglVMBZWsfaBF5pSdUHO/UMcZXgy1NIn
4CmrvUGfvs6RcpKB33qDVV5HYYBVJVYr67JRLWnaSN3CiwgXPqJAS1LVBQKL2qtLgljIKBX2sFFY
qDrZRso9v86WFXm62UN6xghrUh+dpgFVnHccaTVKMjZKNBB2gFZ7ULT7sksvKI/BqtJKrx8VCA/T
q49wBEE84al+8DxNOQwJIiPMRM9XrTYXa1m06YWVKpd+PQFwRPgGAqy8Cuv52cI07MgtOtUwLQy3
1sDu5QYQRaX9EsfFVScyQaJ9OWCQi9dztSa+nY6smm862bgah+AeIp/ttFkDtrBNV72EQ9gyeFwt
gm05uwUUgGkWWzPNI6/ImAAWy0Q8qmzgyfEllP4KcoRx8AcLPVrFBL/Vo2cYz0t4ZPFsjmrtNqNE
UI3kz1sOyxpcywT1VqCREaJ0gvV3LlejFqBRaYMb0+e0OBeqskWTeNH6pHB3OeQd5LoS7LxFPaJp
h1QariBgPgKNojk2ZpanE4edGcoWAgDAncA+j3mDRVhie2WG8k4EME5QVxK3MWCdZ9h/Lggkq4sW
esSQvHRxdx9n6tdyQqyvdaCBg+yVRQp+TYBxDSVKj0nAiy2rRhGX90d2DpdqqX6LNTQxTRlu1XT6
OsT2aVTymyhPYzfTZ/CGLZ5XSQ/Wlh7H6zKAi9H66NOL6koJcDDFcfIazwj/yY3fzB3BvUoqGfgS
G0LWggXuGAB3hlrukfV7nw/FvVyHWK97cNsifoIsTFpxi86nLHyy2gvi1QrrS1xLB8TOe8vOhCdG
3TNCfNPFYqUrOrdHJoOKUnpsq2ljxsWxqAHgDczanTAwH9oZMVISqPa2L8kOazI72w4knqI3s7Wz
khQWbiR9jjgrUA3+K4sypeqfy+IuK1/r6Dn9a2Fcfu73wihri9dHh0GqIwpdrD5/4ORk4zf29LJJ
mxGh8E/eIQxCeIMEVZMfJAnn3cGKzG1yjyxgc4vbB0DvvymMyGg+HKxM2BX6wpLTlaUKc077qQ9p
hhj1RqmaLka1LGWinoRlElXJuvtdYFzRBZ5w0RaI2mHUzDBG6VaAHR9jehOGllz7SjisrNxHEiD3
Jn0SQ3nhjW3cwvafazm54YCRXXKYAiE3G8qaNxOOD6X3ojCM72HJljxBhe7IeQOMpetU4oej2mN7
anIukPXjTM78TsrTlgFAkuQQbNDSuXEcgGwletxBdnGMjTY52EaUr5pymNa1buN6JOzZSTOwjZkt
146RyvZJ66c9TYajVbT+AcdAsk4kkplhQeET4tyJNzrRp/VomyHSx5E0enVMXBnQ76oa02iNjzOH
LCE9pgbBJcaY782wuyWbWaz8TON0ExklbZVJOtWx8QJQDyAnWN8N7+/3OY6fzCECF6z1coaG0vSJ
MImnuzpr/RUIcmZgKobAMH5tg1l5xHiKKJiWD9EeabUymxTO77QAgwI7h/wlATM1BiHtOfiJo46p
ZhOFCmbYujOOtWmSlRrEN5mc7oZwupVKdvKFlmsbYRVXppEhnPDrnL6OZqzCAifinJiyo4lBdkYy
UI9yyPoEGSTUERsGu9IXanJo/UluN0H2liQ5Q6GvzyHfXa8kSXQxITzV2YLLtJPcmN9E1rcttefS
siuctZwh9V3ZTgs/qkujndIn877uc/sc9VNZwSq1CrrZ3AT/bPtYp8MI+lgv28lRKexlVZ9voCPB
fv9v9fphf2Q3/c+r102RPufFX9cujZ/6fe1acH9YCmj6IJr/wfT7Y1MPnAcvEP5FDIc0gN5t6q3f
lv9Vx5JHU9CUF0jgn5t6+JdMV+isKObbYvgvNvVMST6sXWzqTfTVGDJpLSumWJpG72Yo0FziWuuU
6WzBKLg04ym7juTSfChSTdmzN0geeVzNtdX24mKYSh8FRR+uZL2fv5j20N6Eokg3cICjgwH3m51n
C+0eZqVnVeKULsnbvSr7R10HVaOOLT/f876suhm8toDNs5Usez8qc0XDF5cJ+vYE6pbIN3FOqDc7
KcIRymZ8ysIw2BdVOGP3auOVkpP51lhW6U719MVWKnaA6vPkZyYYZ9lat4U0HPKksD3ihpGitrYP
plycE7VDhhXRjrANoi7CSIcQtsiPbZW9kIjnFrtFHL+WkzxoV22erYABBwtJ7zEcAx+UXu9GSbmP
CwxnADXAwsw2kGyMpZeBHDATmfZRp9Zrrcyv9AKTBkAIadMawQw1t1P3NH9ML1XTg4yIfRe1mr0S
YahtkjTXvF5RfLT+MI+AejD5yNi5+kV/Ndf0rcqUXRG+qtmRdN2LEwAOSmCfYhUNfD9xd6ROCq+j
oVTJQpflc4NxczWZQ7mrwmYP0fCJCNsR+Dl4FsUyYg/Hwj4Mqrl1/Z4vTBrkmi1jIta+IW9jphWT
VAfuqPebrE2YM81d+dwXQXwxttorJEQgaILwiUwX1op12k3i4Ab2+BVweBVV7LhR+vSL8gan1mg2
OrWSnvtKviwU64sIGhMXRbQrGb/QcNFpMWHvgC3Hfh0ME0SxAGi6Xrpmnh0aVX7V9aLDDDHc9GEC
NYWlj9YKeKYsE2czsLcMAjc034/xSLjjIDah3IFVSwPZNXx6+z77/yA6ZzNzDKMF8q5hZJn16UKH
zFcm0h3hFMyYRu2A9ZF/6fynTKnBIIG4sGlFjSYWXH26q2yq8AgFHncTdah9C3WvEh1alKIa3YtG
LqbLFqIOOYmNR3vIS96KLEqOMoMSGmhTWuxpP6krU67HYwDhZfffYvxjMWbf9cliHDUJLKzub5Zj
fu7dcswYkh4KclriL5c8hj+WY5XUBfjCdC9UdRGh/tFj0RTyHXBvCAOV9v92mf9bjjVAr0vT3iJ7
9m2baf6rreSb4u2nHr1GRq2J2Eqhc8NHYYbwfjnGXIgJqjaKy7EW5jpfiCgaTBySTAamTjw//bR0
BsQgGA0DWRFpBsbGiMxkR3hT8UCOSXPBcHF0GlWtbmIgUltc581pSPzyW9kuZuCFFROm5mRiPppI
I7ClQcX4I42XDfuoM61e7VESBm5tTHfEsvkyL0bu56eEce43IpWupzHVz4EsA+OiVbuZLSO7A4uj
P6a9Wd8MTEkv2iY0obfmBQ2IjqayrE/FF4xJLUn0jfKKQzR90EWabwMd/CkvSfPcE63hhYKWglnT
aDBjErC7sC+vhgVc1AFVw9xbrvpB1vpzKOVa/1JAJNQOMpSeCT9jkXSYW1uQx4TtxOEpfIMiV5xY
67MZliAIiUYJb0JOf+AxFqTy3KrzMii2JahEItAAvq+LdLBMWrY9ztEV6oCU0iblNO+jjkNu3JOf
4yl0T3H4jo/GsJQdydSJJRpJZAlCQ99PHXTQdijmZ1XXF4eSEgm8ISwcUSDbAGX64CszosgV+Tw/
+004v9L6fQDCs86DaC8t2QaZbPTuoEPRksohYKYrd9MmwbF5COR2OibFCI4TR96IPbWQUrLHgwhr
U6sCo+8zhjNJda+ZUbpLbflOTYBIl5xQnJC2Dm2iGktZ3Bg3Fj60XSu19l0pKuM02gC3MraKxPi0
OsSlRmSvTZ/aXyUGyXs1RVhRjtmZnGxpVbc9fEpJakZvSCuGIaMfwZwlkGvHPiG/pgw3O10gjghm
2VzNNiSR0U9wOMUwihD9xY84zQsyeczp2CRz8Th3o3Tg4YWjaRKLzvHEf7DmbLjLF9RN93/snUlz
40i2pf/Ks94jDQ4HHMCiN5xJTdSsiA1MUigwzzN+fX+u7KiKyKx8z7J7m7uwqqRIgoD79XvP+U45
xfdGPFXnSENyCoJlCcyBO9bSdCKBkICpqNu2k9NuQnQgcGfAyhL5bX34WCPtTJ7caZS3s2oIOoKQ
LT4qDRaqY3ojftUyPSIoafXPWvy5FguGh3+9Fh/6/K3MvnV/Xov16/61FnNCR8MjqQmUVhf9PC/l
xC8gU7KESZvDO/LB/9vvhk9p61hRwB+aQCm0x/bfazFlsWVz8qXpzX/zt6L1+Du/TEttkJSc5T1B
whlkED2X/Xklhs021m7pjGdM5iRRJvNd2f5P0tc/IDD5FnTSXSY0CrerInzsD8JRYcDDSNK2OsvR
T7gPbadNqUqlVchzZDb1sKmRCaS3yyfIJoJ399J84m2YOs3ryMwn6wTrjx5jSZU3XcZgcZQEOKU5
Ob0G5szZOQCgk5XGcQaoYwDW6cwqxKlK9IZG7sTtIZiRNEWYzRB5iI0Dnoc158YA15PN6asBvqev
qmMCzgdsH4jhOLoJu3brWdnR1dQfAf6nAQNUaR5QVtvuPtaMIIOD86oDG1RrflDP4+9C25ftmq/3
EirzaGrYkBQVs83iAxJ+RE/EXmEB/gjgdmB2qyjMNbSohl4EhvYy0DgjYsOIABnBYFWu+aaxDlLD
j4RdPAwiRDxiPTYaj2TBSUo1MCmax3eSPk6zRinVSXVVaLiSX7tyQ8Sqsw7K5h7YakNLpey2IVQm
cmIaTFnyFuBVuF4gNxmJ3C3M4LY0qHLaHN33RGOevJhZpgv5qYAA5Y6goCoNhco0HkqZGHMrjYya
kr4gTN2CyTh48Cqq5VlAmJL8nKsS5pQzws3MLdRXOU0XHy6VoQFVFqW7L7rkOutGsY6M9IRGjagZ
UcNKgHAVdu8Im3c+3Ks4Z3BgT3W79rPiOdBwrKD2ik0JL6vR4KwOghYYjHf8a0htYWv1rv3uadiW
l8Tf0cAM65DSFWeo/xDW6rsdj2vIIx+0I8a1gN0VaYiXmLx1yWR9gO4lNOar0XQDCfkLhzRBOrDA
Yk/hupYkN9otoDDbMIEhwA7rfeNxCIGJGVDFIhmBMoUzxmSV/BLsEmuiabaZzVxiCF3CZPn9fC+5
twAdpgORi5M/PKfsJRAb1fck8b86Iv2UI8gd7aUATkCUXhU5+0KYgINiXXkM5/qeTBvOOCkcHIJl
6NFEIzfr9JXcIm28rfstih54dO7yJVXBgxpASA5J8WGLUe2GxnxMw+yxhU65mgwP2njYXZHM970z
vC8GNO6VSiGISm0dZdCMQMddVGltOzmnx8ri7sf+18CwqLga/uKL+sEJmUYFKuUuZ6jzmJrSPzrL
lJxhDz7UtXUwluoDWPKRMyYZKGX1DcVGjfIqRlTXefEuHZm+MPZ/tu1uk6kgW7fqiZjCicHynFzm
NBljw7hr+sTPye2EJENXjSnOgImVIRdMVL8q120GXGbh/g0J3ZxomzM4yZnfoEV223XFs7mSUPDb
0n0hfOcjNpnYUcUSQbWIXY4JeIjmC+nZryicL8YuPmFO/BL2xCax5tw1hdgmlbgrBUxqYdzNs7tR
RvhkpbT+SSHFJ3nhj6RiuN55zqOrpQWXi7838Odv/UAtE7k0NMEZbfMAGCpAdbdtGGd7zq6phmuX
LK+mRkEoF+D7sYNa00eNknjGKjCMm7lrnvLYT8mKaj/oKeyseno22g+n504clLuTduIi5SxGOot+
MJJqmfQzMk0TzcOTG1LU1DU4uSSkd+l4VVddp1K+5KVt3E9LvXWHImRimbBurdLSrlDVOYvcdzNJ
yV7mQoST+VMKsKDpxpdxzJ7a2vhi5o28NXtnObPh1bsmq19rSxyjRn6bAu+mXnB1oOjcFLkH+gfu
0gYJJIL0hIZpvuT+A0TK+SrMo3t4hm8JYtL1mMKiaZbZ3VZUfXwfiH92x1DI4lccowdMV8nGl8ap
H9oXpKHLvWfIfBcYbauLQ5zDMXvP2k9ZA3ojU5uWrJMboyOSUyVy3sxw+LdhUzqFnqshK2l7hHMu
KQNF723qrNvYaoBbIqDtItgr1zIvZySJZkTOM0M1sjBjHnYaLCMl6KFNh7OTdnetHa1rJfbJwKmm
NIJ3pjbJalHiAcnPSyOm+9Bp1NG3+5dSc6WQmATXP9Ui599PU/9V9Pm5pGHb/u//pb0H/z5jfW66
HNc8veOSEuvo5trPO7vK+sryrLo/l0RJ0oQm0kzxqR00u9hu//v3+rWK0O9FPpYSNACl7TKG+MNo
oG3LCVlnO569APneUz3Dp3j6/3sL/RF+6uBRe2fZ2GfjueLB5CgC0O+rXd3/P7wJEjWTDiE1lq66
fn6TNkpTul3jeJbNQ40037g2ht/7Fn/pdv3zz8Kl+ukt/tCJ7BjdhdC9xrPt3ec1AO0OKddN4b4m
8//wTpzk/3AD/PpO+pP8dMUyBM+56vgyNaYQUZB4YZ16QpBxxufIbJffDwF/+cX0B//1ftPidIvg
RaT0kNP1x/np7ZCoAenqxHjOIMhqC756CKOLOX/5/In+GSFa/+1Z4+q1iauyff3zWUO/7sdZA7+C
NF2Gh7R96LfrZ/5ffR/zN34V6TmoW9BGcmf/kNZgfzAR3LgIJzkBOD9La9zfBOluNIU8xpGupdTf
aft8HnV+ukUcLc30GUYyR5Q0kix9Svr5FmFinVouIt6b3CSz9iri9P11EmbkHZ2mKMIz3WzntPS1
+qoie2wOvlHQvR4nY/zSLG775Ed2ee/7sbNAkujHcicLt3tuZU9DCWKHywg8YS2NjafJYrmdQnJu
MstK19akoJaihwjFTT9wY2bzK1bwVysi5SGe7lTr5dtAmXsry+Mba3apYVO1nQbOBIStRQpyKVD2
cI2gvAU3PL+mNWSuekTP34NfWSEvtGkdo0sjnmCXFZB/jQKdiNPD3QgbckNHCqRc3dkDbJNYiU0q
3W9zAG/Ba8DgDOK1Lur7SlpfIy+RqzJoxl1RJIBbCGjZe7Gfr8sBkheC17tEuZeD175YeElTVWSX
lD60kNJ+VQc0w+1Wj+caWMz5WHkgxdI7lEaPNbryK9kMYF0KrPyQYKdVw8FhNdrwAVGJQ1+WU7Se
cCFcFmW+XdzqRSqyP1phAgoxm4+lbWaCfqYMSn1/wHBKCmp+EGm3qVw32c1gqyjYJg4O1q4vCSaP
Eq5BHQgQzYPnHOKCf9nD1IMjKZ+KKP3mwnnybMrzKnsXafSgSpjaXZfYl4ETHOPKuI0roP+DA+SI
GHf4eowsQwybayY3d5FSD3bDgDJ03G+qLC6WWd5Vs4fl2vTomhQujZyhTJCzTBfE3SCTpS9kl8U+
iyHCWHaPclZgEaiLp0S12UaRh7gTU7yFRnRPXwVA/ojkgm7dzq7d4br3mARgRPW6VWMfu1TlT17u
TJsm7QHJkezsyIjkgx52sWHKTTL3j82cvAXoSg4qoq+J8nLnNt4zWs0XNwjBm4vXLEePOOmPYQ53
xuzt6mC5yeApt7EFZxoe8Vwyj+4vMz89L7P6Gis/3xWUT7tmiqlW/bQ7mtV80SluO+Ekl6WFoEnL
PiPDezbcyNDn03gtkilYG40ur9Nrp8pvpN9ccGo/D61Xr7oBHW3o2jtD1l8x9Gwix4LgnxFKVbqn
alA3c0wHFTXKheEHu3CocdIF7QNB4G/KmK4a1X9YQf5AAuFRuOoyGVIkOZGrgOX5LYpifocgyb9l
JBrdWEvorrwpIw+6UDd8ed2Xil7qxgHoZ+Y3ViDOtWPvmEO8EWGx9nSzzo0oh3OZn/UmelnI6MLN
u+I5Uj74wDmzVgapvRcGhQ8EUMp47Etq7eb56xgE6Zb0iVvRBi+ZUc5rvGDNCg/TwfeWy6zornoB
DrC3v4wqf+0k2Y8Obzpat0kVA8zxj1HV3eCV2NsSRHyFHIAexFXvEF5Q2B7oc4watpXCJUN2MzsR
CE0EyLGWIrefquRpQKA8L8XACRj/j6/ly6TMPvda0Bx+aptrLXOuMxMIipY+h1oETaqHdZ7QRZPD
Lq4jLZXmN3eoF9i/HS2kVlpSvWhxdaNl1jQdnX3HJaBbiQhbaDk2ag1XrsJPlfagBdvdp3bb0jLu
WQu6jQRp9z/b9GdLUDev/rol+NCDmc6Ljz9v0/p1P23TiFwpkxU6U530+Ms2rWgSKheOLvv3T+MZ
6WmlD5NyYf3eR2QL/zEt/7O74m9My9Un7OeXUg4gsqmkEhbbNO1BRvY/79NicPDVlHl+s3AnU/Sv
7KF0VhP3+FLQihn0bZ9w/9v6QXB4Isxe7GOekKg3jsjiCNi1bgth0CERp7GtXlOeLHAj65QnbVrE
ZciTt0SKYHv9MEZu+KXl6QTylG4Vz6uvH1z78xHWD/OCkQh5LA94luKy8/RDX/L0978vA/nZ0wuD
r5eIxTXWDWuGIvResoZEBH9UelGp/OQFuBcxvaw3HjkReLFSdwVBK77pVcnuwfLkTOTkLHrJivXi
5czeZcdqJlnVCOL4mO3lqrX9N8gpD+M8lNBLw33Jeqg4GsP1VzeQr06ZXjL9yHmUrKFL2X0dI7Vr
9eLaMAxfjb53tll3s5yMPdbhZEQyCMwLXjdLdOJmJNU1xrOvl+8S0aTJeo4IlCRNVnipl/rCISU7
18s/K1/Ow+t/nTAhOuwQNoaR66q+NUu5y9lBZlfcwILc9XK6m9lhpiSJ8S6IVykiwOXGy2AHz4wD
d6oHy+rrbQrz1lvMvsXEmgm73srElFzPenOr2eXMKSDCQm98tX1UnzthpzdFqbfHkH0y0BtmrrfO
uR/u6dZs+Xe8IyYh23Tssz0fI0BtsE71FmyP5d6JTa6NB2TQnC9qvV0nCee7RG/hpd7MiWe7iz1Y
MmPwza6xFcZ63y/VnUElvDY6denr0qDXRUKky4W4ie4M6gcn6exLR5cUU508eEHx7pnxpgjy25za
Iymap9DnOIwojwKFL3WodKniG9gMmWqHa5c6RuqCJnaDNeZb0B1xz4hHZxCme9OGf2DJbAuLdgYf
1X94jlPRL6BkMqmdSmooX1TZZeRwtWtdYH2aDopJtCAGG0pEj0ptwVCyUsKvrpa5eayp1oKqJ5zD
pOYsYwMr+0Q2NXDWfpVR55nllF0KKr+eCjCmEkS0d1fo0tDVRaIhKBdzXTgWuoT0Z/D4CG2/VlSX
HlWmdMZwMzvLtdkHZIMbYiOpSP3Ku+upUEdJf1gEwdHFMksxwxDWo56ddGHb6BLXClP6KrrsTXQB
bCzzaygXdnddHGdc0VVHvdwNcPmon8lfo5DWJTW+rz35ePl2Tu+wDRFAT+oPBbiRzq+dLsin4SHN
xKafvDPA7HRNdU6oiK7iJeU8A0FSLyjwdWRzNA8KxnGNlVYbTnuHuD8Gl6/8rvOJFt+2rNAtpAw+
NpZhf1hTe5WZxtVkdrSnvbnYIrd5LZf4MFedsy4VZjDTpePMMM2F2k1eh1WP9xh6SkTPnaDtE2Kr
lSSyjENWbMaeO5D//buV4TWdHU0Qh8CL9tq4q3vzo825JWyVx4QUuI9VU1+3HMVXoH8/qgoRhzHu
2oRYFcPK7C0OYmunRLKLzKW5DAQqEeqJTc4Vv6gLvnRacDf1XfHFzrNyR7BOsQljjxbfQOs8m8ND
YKvpUIr5tVZxufdZGoni2NVE9K0R3FwtXUTdInM8suhX5ljej0k+rkK7PNetuUcV9VABvwZAei/C
2lqjrUMgVLqvIbKZSkUniy+3GWOT2tbsHw21iHWQxPU2S4ilahxu6rQNvgxq+dJ0RA61dngIM4Nm
sOh1FihzgK6/rzyRUyTz+8K63HgSG9XoQu0Oc9KjmoylgkzJyL9hoduHdZRTmrcPxCg+pVb33NQk
SGZp/2z7aNQF9j7CgqzoAvvvsIm9yFnPEU3OMmTwSw7msWmT+0LJ/VKB/AxS8WVMJ3PlI413MuKE
PT+1VrICktFYT4O6HdvTEryMBIdF8pYAqhV6hScSNh5j+ohKIJZURXltcThfV5loD2aiPgQL/VZM
/plMGx5tktoOhkNohKuWeEt3FA8ItEU6e5ct7q/Btw7uhBlwiuftMgt9sriIoNMzKO+f3Y54JLPu
TnV3PaiZUr2PqcNpHM8wkbPSj/dW3SQYCONnMS/7LGuSS1KmxG4xmit/do3dQIT4DhUqHUYhJUp1
InicIN+OVXhyfEJ+WoLn6QGVoV8TPYfu3p7KDy+mKz0WHZMaMOmO+5yU+bhvgOPHSGLp1QqCieC1
8zvjDlCH0MMSEAfrkvXrFHSLfyNkAw95MdD8t519HIjSzZrI8yC0zvN+mWgtI9utt2weCUICoH+O
uLIqxJ1FfVIQC1JaEvDWicwyGls+xW7FCjGAq7Rb40ACx7Vtt+GhiMwPOZsfwRy+seVo/ux0mE1y
czyXQBaTr85nRD1VbtIpe5/iFCBMGOHhSKCGB5LlIVQv0PzxpTFo2o7IwGoB39Sylp0aDDzLrroI
udjVW2eehB3cpYF7MAxoQ3EDnaDi3BT3uVinmfnI5WcXF9lHNSWnAd/eriL/tWnVPvFwI4CgK3bw
EvCyNByb4ZQRz1qPL0U3NWjz7h173qjMecz9Git2gkxrSY+jrXbgqM8DzwnxWdNOdNWDW9rvLK7n
DnXVOou4BWJV3zFM3bHAiT1DF7Zs0V4XEXJfdxGHQiHr85P8xvWbGaR8RC6pn87bZuq4H0bgApFa
olWj2m0+kU5aKWjrcWm9Li02pWxEjEIWCkM3dU2R+9I01SVQX5eoHWMrYMLCAP3C1rIbRuuOoe0F
T+6BphHWzzF6rBbMMEmcXY2CrTYVDGm7iyArn51KvIxByh5RuM+tNV2VE2O4MUadkhhMF3wnfILn
UKwFfqUlPjV2c0Um1Q5iLObc2LuNnIo92lCPfTVcLbhnzSJ+y2znVKdMXls5Xw6T1x9QSJIxM6mr
XHjFWuUshEa0N52YgDDHPqSldTmaC2MlKdehg3xNLeo5GfP8LANy/gj4ghk5NtZmiHCNEntcrcFa
kuSXoySviEuAsN8cWpuzNa6MN3ekhvGm/uxWQFp9+ip7GE/tZV7DOq/leJHp3gc+GjSPgbH3id+h
5mS0y+QjwyP5oDrjhKIp36uoPPpUW5rOLxO1Wgb06f8cx35PMteChb8+jumu6X/IMNcv+nEWs6zf
mFkAK/d+b43+3DKVhLlIxPzQXzAf/iHDHBg9US0eXBZUxZyQ/n0W02IK28cnoTRF/O/RXwRnwV97
pjoVBveGZetPwR/89SzmuWxHyjCXG6JLnmq0SdgI50ITmYlQWfKdV6u9GEsOK8aaBIknxlPofnpm
oEQ8PSSefSXL7pgnyZZRW9BuXDdnkBpHY/XI3iK2pWXehkbRHLsxDpGokT7wZpFuYK0KIQdaLMGQ
8+gXJpLVjBAR4izibY6V6tYs0OACZL8fU8WjMMw3vpPhCSjkpoqIZqqn8mGejSdma48kvfUr08Jt
DtbkqIz5Joq9E22JzRy17w3HJyfFwhsm5l2VWGf2rCdraItNRC8G6mh6NVQN4oqg+D43S7KKoBIH
thtuAEBIxArTTcehhsS2aeMMst9gfvhGCsKy6UyCKPzJ24ZmN66rMhK71FUuRxTDno/jVFIljeGF
IAZcEmzcC8oKHMSmIKBzyAGfCLyIzVA9R6b/xbBd5BqZvE0xH0KRfUrjZVk1yfLYUWoPvaiuRaBT
w8rvFml5hL/c+axZsHDzS1LCjiKfn9KW9lk5fDcbZ96YxowXDLjdasFyvTKMtFvJLD3UrcFwP1Jr
Yy7J8LbMfu1UkUdjuprXy1yT6NrBco9KJNk+1Ooygb+em7OxBZdNpjfY27Uy3XcCRE6FFPO+CxIs
apPAdWkdCQY69H1zE2S4OqQZzwSPNnVFZw+j2R5jdkzYY5YfkYqv29a5wlafr2RJ6ykqhp1tBm8p
ZXmaTcZKm+iSYnoNFQZV/iZdWR85hhZfkLeFwsd4NRtkRYCZJR11kCCt/4HDx7tC8oQH0Wz7ndVH
6jIbJSVj0dzDErCvrS4vL4QV6hxvP9ksTX8gS2+hjKFkRnxJczMX+8JAK5lx/1+zS+xdwz6iNX/C
00s7wnoaBxIi4eubG7DD4lpCpr6sCoQDIZ2ZbeTQPwuGxMBYmNjY6Qk3nYUwr6tJkmMOG/wQp8Pe
t0Fbj+Epp8blDGm9elI5G6xF8Y0r4dj4tChnL9/1XUtu/Rxn7JHF29yC4R7ilzLEzegz4A8jfs+E
FiWhYGg7pnz/06J2/vOoV68Bf+zXoLFkAEvfCC3XH2aKlZyGlBRscZPlj6n9jVzJMT/+7bfwfYIs
bRKWBXouVGw/t4TmKpzaJCbMI23f+vQ8Vw+F/zvB8J/JnmAc/td71EVchO2f+4X6RT/2KMZ6eovy
aR7TMdSElF/Gejho+GFcGEx6YP1jrKd+A0umPS+c0BWZFrzoxxalAWUY5V26j45LH/JvOeY/4yr+
ffcx1WOix9/DwW4rxZaod7CfBr8ikDC4Kte5jhZDNo+AirIcC/qcC5JrDWA/XtJa8VXrpfKl+h0H
BBjINCTUKo0Kaj6xQd0nQojgOnBCedmAyHLxOXC6bxO5bdvgNMoM6lmZlUt6W+bpcwVmBXvw12kk
cIogkutZFQT0Fg66QE2R4Bz5BoiemEPyJ/F3o7vjzIBHpt8jyEvXuZXOm1G295EIXiq/qKKLEmfM
vMmiPJye0owDXx73y55uaFqVm4i/qtZlDyHjyjZmdZij5BATi7QDijlu6S5A3SiG6o30ja8hqfPr
TpGjKqpiB+dkpIomSzExDnQuOpgsxZspm2SfEf1CTAWnzdB4t66qYr4q7XQz6RGXn0EpC7LgQdTe
bU4Egj8P+2S5FZ16HIf2mQCmrV00tf97IsU/D6LDwvjXD+KX/u0/jNf1a348h7jccEjgWECSy2Kr
mX//Gq8LAEeofH3uNP1ssT7+eBB9/h+fAtM18c3CqKDC/PEger/5esBOVCDtH49W+9+ar5t6fv7L
k4hTDvASo3oCRbB//GEfyDoMuFM5mTcdGInAL5y9ggJxYRH0hc5QVFi14E70hY2DHVTOriz1TBQ8
hdY/rUZNrIiBO102mmJhf/IsRrUfxv4+86bqqlmMdTWY9qrz3sWQElqdjwfcQMFmUePRD7wdB3hz
UwGo69sgY8g7I7cb7cexaA52HBUPdYgGMqyqd4VQr4QN0QhbIxRkvFJh/Z7NfropWxJu63E8TGCK
yDAuo+LWlOTEJ7Z9NiQUAjX62240g3U+GvDbhU6qyThNB92r24fvQe6NO2suTESuVX30CjSCdWnc
dZmXnX0KxVWuIp80zobouRnBZMC+tg4NStYimBkZ2KAgfPmtjRVnz/ra62LOylH6ElvyoSv9amMk
1keVOtM2WMJHjKmQEtpjr4jezTmGB7X/DapiQbpIRMTWdFuYGAHgLuVFeJEs/oNIKqK6l67EK2Y+
VC5dioUfoWPGuM4CMm/RRbzOfUvYodu+YOEgXY80jVUNNW+0zbOX2SytQXwboxtYGTnpQKd5NqGL
FxWFZXUyVXHtLfHFMJfhUSbtXa9HpJNDnx3SVbt2sS8nikmDW2Ubl5hvxtVGDxHft0hi87usTQ8e
wIBtXLTejW9V8z6jclzRxjnCUfLxHzcfVg18xF/c8NbQoeBL7Lz72NWu69n6nuEhUzQaMM9FieVf
070AvF6QHxSkpP5QO6e7AhLcKUzLm4hRx9rMvJvRKLu1UoxxwplQ99SmlSUAPjbWNR6GgmnSQn85
tmlR9wCPhENqyYQGeBD9V1VFT2ma9uumJz+I0eYGnQnXLeTiZgytQF1g5YxnutvlW86pvEfKdiKt
/VZ41XdmTVviHvd9jfS3SFWzNrtGHnFTHyuVn6bO2dqhvJlFegMWcWJl9jHSlMmzOQaPTm60hy71
yTY03EcQQwS0CesyqCzCnTzmKnWNRKE3zbt87k7mGO/rNLmL0bqqPvsyms0brtES77ggxYQsZQ81
waZRI+1/syCimovr2MZpyCQoWROiU+/PKRnB7qVZi3fPWuSm7eZntCP4pgQk/FZPo7qFfDSyyNJg
MddDYV6P2fgWca1RzkNKKRTKgdJC4QHCxuc8o4CqJJquAuP5HZ0EMgXk8oYmsGAKLLE99oSbQWeZ
NaelmJ1vHeCWsbbwWoJyqQPEpLGmu9C+Jyqq/eqBfcnz4lGAgREE7fH5MgxesJwAxTSaGMMH3oTL
gEgdmIynqTL9Yt61vvw6a94MPiVYaJpBw5TAONKcJBkZU9cAqMbG/RQBrvE0wabK0Y2ubM21CTTh
ZtGsm5yGDfma/SbRHJwcIE5i0uVC6KQAVbbYS0u4OXDfmS95sHRo5N0kpSZyaM5OABwG/dB0m1im
uQoc893TVJ7P7eWffdZEavjX++w2+69N2bx++w+Wcv3CH5stRS9tV9/E/A31CWvKL5ut0HQmYAtU
r6gcf95sTai74C4sW5sL9fz835stOlUbIobwmB/jnvk7my0uyj9uth5/h+4PBS+TfP7ur2VvHQaT
Y4ihvTHt8mksZrEbZL0xpO+v3KRtzsYS0LrOVfni2Czs9EbQ2LgMNr18YWU3hgKr9NwTP4sLwwzs
57RNXcinHt1GulG7xe7SXR4v9AubAJ+G3ZfbOvBRnbXteJkkyz1jIbWSkxedQAc++ujpQwKDdmoh
fRGr3gndbnhopHvs4uk5GMm/HpLqvik1W8aI/YMww3fshQ+TNC+MvL8uzYhHMAzEymwSsZsdurO4
Azmcx/u5FgvDIf8imbMvQWedOlW1FxGlgTmE2Q4zBX6IkV6wmpw31aTGgahOslQnIBl+OX2oUn0A
B0g2beQDjKqHK3+SL4VVAsbrM+bHrvdqDdEtPQ3ARkn17hf5TUp0HWET7tqImM8/TQnRRHRW9imL
+N6p1GuWmLuwzG7zAI3T4uQfsDu2E40cUWbVnv7vN7cZ7wDxhgcTjtwqJ5l8m9K53SSxoba9MeGY
RNQUh9ZTHHiY+ANiXC3xGfRLdHw1qhXu9z0Bskepuq85SoRVLbt2z/T1ZsGuCg9sfgK7RDzW1I7h
ZdVNCzARz278S07935c+0lXGkGzbpLeZndD/tZds2udxTFkSJ/6xqufoVqbWo4ijGF8Q5CfLi1YL
cepfFhMFGwJ+v3/oVRZed5CcTgs6e3+LU+aAmHw70jMTJfoMCVKLtHsUfakZP8WjUxEPR86E1CQB
mGG64V/RICs7YjqM8hwmAT092Ii08B9cA9DhmDTf+n46mJk62X3BJZ7zTZBMz5UTf3PpYgUGCWGF
qBmANFC5XKN/tRErwfCQX5hnfjUqjmwidPezb4Mf5IBkmeE9BrN2M/ULEbSS0g7k71xwxCEMsMjS
SxW4V6I3cBTM832+FN9N+H5b0JdqRTjcsK5SNtTBSN4JeXtxLGfH9Ocui7rLeTAeHCP62mXZB9GE
xB/1xgVBttemDB6nIrmYR5BHSCKfwlyC/2+Ch2ByL4AGMsK2QnsnK3dkBOVfFxbyFHd8RBO+rDKI
wNAFKZjc2HxD73E3NuTGQGW2Aj9cee5wgzX3Ts58l5wirGnFkRP4mtP4KYRk0Cti0AznLZy7J89G
Mlo414Pt0PBcDrLJV5XJzpu284vTe94+CY18lcZEH7HM0ZyqDYY6mjAZTEO8HuLmpWnzk/RJnJPW
kSnxU19ExGtxbNRThiPilnjNDWuuKiO7a2PoVjL3ibAnJXBR3t7qOD5nMRgKsFztFsErREh/OSw2
Q6OkypNj4VbrqRU7z6Jtp1dcVilRQu4cziWKxJVVd+auH+ZbZK/0Q836YHIJWJNu5ayukt5/5yjC
veWqR3CsV9Kuk7XsZ4GHu4qwZrHENdGCq8i8t/xil7lRsrI0VKCtyxN0kOyQDzQGsw6ta96pteJ+
65fwHnzrm5szcA8t7wp3VLAPQ8PYJW12R9+4WdVhKtaz5b5Z2MK3osgoAVS1naUB8zO2UCh58y6N
++9NtwT3Sb0wP2vEQxEPIPmEG79XkQGIbxi2ZcsaEcfP9CxvGj865I73fZlK4JzAilYR+Ng0h266
jlvH8FfUDvlzHhpueLUQjbVCdVlusXle4Dd+8GfAY03uUtEv5VdEBv62sge56tLlJRh8VPFD+8bk
p14vfXMmgvw6QpIsneDr1PbfRU8ELxKMU7ZY2zS0cQN3zm2fLlf4ykCbmQ01WltvvWy6NDFVrpqe
eCFgZwC4l/5BTuYBqMgpK5OnZOB4kZJAyqdZXjBQX7X1/JQ74y3J1WfuBy7C1D/mqbhG5GWuYGIi
swVI0rtDjw8N+atkAqxAdk7JhW1Oj4UFoM12zipsN5XPGc3jHxPZzeRmKrSNjs0mp2ILqCZZb4Vp
dXi0OLDE1aGoi0OTdMvKzVuWHQXJTEkA3wIViBIkG6sqOS6LZx6NdDwWiYpoCpUA9ubOOjZxGm+Y
3vfbUlbEwZhQs0cMmqtwineuxTTgn6rsU7moK5i/rsquygJ058f8506kft2Pogz4s6Xzg6li8Hr8
wiizxG8a6YBzRinsXVo0+KMDomhzYP7VHB+pnQc/KrLPPiTNDyJ3GLLp7uXfkC26WlH5a/sDApHG
o3mSNrV2Iv1akeVVZpeznl7nchl2FTXVhvjBLy5tstLtny3aZulyy2aMoEJsLZpqfRc+BrrLNut+
W0XjraYBh3aZZpwc08dcd+dQOST7mYad6tg5GQccWTYPZlgwUOrLnSOaYB3pfh+lyVdDdwCF7gVK
3RWEHBjsFvbBMW7UIQibUzGyyScyev4/7J3JctxIunRfpe3u0RaYgcVd/DmPTM7TBkZKVGCe56f/
T6i6uim1qtrqrntXMisSzEwkIuJz9+OZXZzyyX+ZtRbh16uRxKu3KU5u/NB8qx39eewnY+m04xl3
Q4HHJcEOXMW4HhH4bA4uT5PwXqO2jI55SRmoPjAeEGX8QGLulZLqeQ/7ZR80WrFxPB74lfHaN9mV
z25zctw7v94mNDdWPqB7Ox4eujB68SJtN4jiqak1eXCNcuU31jLL+yudfRaDqKtxiq6Uab6a1FE+
Cr8WmD5lm1eLyhmufOUPLyJjb/GYYsgZTgV96HeyOteYJNrkhXN5teBP3DYNGVec96vUSmmYBSPD
+dLwHgIrWBR208Cr9lVJKMDQQDvRzjXsihbXQBB166GIb+EYnBwBO9tyQmTPNN1VBPVrDcBcazT4
3muxrfE6LO2+u548H9MOBiYRUAIe5uZHG0XWgYkGnz3JUlvOYLrrdzFPECyFc6K5nClU/DY6gb/w
OvdE9pOaU/8qK62VE9tAcQihDlJRmnj62Wz4Wmt0Vqmw+0WubKtMrcalMzCdSROrWqQulLsoarMl
AzJutsi3F202M4xy3+xS29Pf2m66xgBHil3bMKabwaWV3dXJe1Tml0mVqrKs3uZ6Fq9CPjn2WQ/M
8hYVUeC1cB3vVGk6aJTiXMbkfrPxMWya97LyUKUGKh5mxykWRQxpf6pxYiVxu+8nKgL6KnnqIpym
MzR1RU+9CRrLJIs87jKIk5tasskhcjCQAd2bBvW2mBq+8XkcsaBcLOg/CcY+6qTFMsO1VfYMiabU
vIvn/DUFlkUcjCYRg7FTmx/wCJ0oGd4bWccuS5R72ojf40bu/VBuEcDTheNhrG2iu7LTHqLC2Ytc
TX+sD/h/+0TIC/7+17xJH5yEHWg6DyfLrI+grs5dj3JaJuNNiscHQAdGWGeVz8Ou9Iu9Xlsbe7J2
lQwP0hIcSibzWKbDcWjEtYCesunmehXI9nlwMeo11ryJamB0HaYyCq0PtW/c2lF5TKJ+R01lxyvM
uj2ElIsl6rMs3Ute9l+aCNKMJ427pmieZF4dAR+eu5BWYDnd5iIlk8KXPknDDXbYJ5m4W1sWu8yJ
vP1k51unH3Dkuu3ZzH3lRzKhjcs9BvKbTOuJvQjQX129733xLMaBSL5I05VvdLdDaJ+6GqV0dtnh
53P2TPJg53ZsnGkcMSCqLjsvP5up8zp7/nbQ2Nb4wyaN+pccXbWxxbe5oTKOvoX1TDwiEqCRsRNp
eXYLW2Bapt6QGhuvsHn2jaZ50KxsXtdOevQlhmM/2aOocKDQ/SPghovVp8dATvhDC3keAosZop+/
92w4FlqdUlLub6vCv6rzBCfeMG6ySujryNYfI707jbr1ZCYaKnp8N6uPkDjbewnHDwDOGr0V3qn2
NIr+gif9SiQjfiaVkp6GNwNjIuMnGfE9gcDY8lnUur3JOwrOKy97LU3zPPlZy/iwxgoUbxPOdqvG
0R9dRxyqpl+EIQz/RrvB0acvDeuetD5ut/k9Tt27GWT4KberEsQsDYRZftaUHyKoMHrO9qteOlvX
CJhA4Z+mQcOifGQ0dgmUB8OQH8nU4qDLCwHUeDrpyHEbXafyXETmFhwYJvg0LImoYbx0pNg1Wffc
DNFdlc+nqZP3Qd3ssPvJxTh4jzlHcV7zvZzSp5ZKm/1oXTP2XFHduzRi5R7Mxq1tFZehlfeRmJuV
5/Q7LZ237ezhjHTgROq7Wvq8NfoF/gKVamzt+864Q/CCVcd4l0pwhcbX2SqazrmhHdFZA2o32I0O
VfRoZ1HLw99xj0YeYDtgeLYJK2eRVbO7iLyeb+d8qiIAnyBoAO9O5a4eYdDK3L8mLMUhvGViPmuc
goweioTsSS31oFaYI+CbxV/GCmMvQnSTVWko0LskPNTuOOJHqzHFSFD0fn+A7sv5WZu+5TX8Hb7F
i4RT5dKMme+DGfLWdpo+wXEzoOs59coNSelQau5qiyx2IDZn8jToLdVGld4+x7qLSRxTmIaterBv
GgqCDri0IOAPqUVYnfoInZwu9cOzrp0Gsz70ZXRNFcvGGuM1u9DHrApuZQVxoqJpyeW8aaQeHdt6
9RwMMHlVQ0utE0rvE8bM9K2vzbZ97+OOua/3YgXmuR8mFpkIp3dPPbe9oID+vhRiWnlu+MaT9RG9
cBcM4UXY40cQm8ds5m3yw2jNjQTsQENdne2jG2XnIErNpeNmBBSSjVZmh75jia4nEu1OHVxiYeOn
LW6pHcI4mM17UAgne4x2wK5VU88+84eFXYhkxclKciAzb/whu2vxFPUFLTZZnt/nKabEjLplEQ17
gb0a8XrJVmhrjNW+DfytloR76VZHWbYkDMxjmsPoMFlpTW+TeOWXIJ6h+8mbMWCnMNklzMFwXWMn
tqv2Iwv9k5bny4abbgS+0PnpF8cUctH4+b4Q0W1txGuYckvfigHJZs4uHMVdk5CvaHPA7BP1QJMr
1zO+HLpjVr7yv3Tg3NtY32Wd8dx7JENjfdzYGpF+QlJsLRC/cmZ0U5o8p/RNSt2WjDmMtZ90aiyW
7jU6rXw/2JrefC16Sq2TVr+fBgox4vKpgFq/MjNO1VoffQ3qogeIMnTrNjSvoEpfBdJ8xYLurCMK
gazA3cZ+tPcj4W+kDI4QTj/Kyb5qS3AaPN/bk2Nws8hisGlIp6EnnEp9HUyOdymQRHKL01DqwWNt
xQ3tW6eUsdNSk+amaSjfCuyQgCdUq104OS/2EE93Pk+aFZ6d04hXcqUNxdNozzel5rwYRhyQa6ie
Rc/2RTjdJoGFtcwbXrUX6DtfPXoqYFJ9wdlY1kxHqAM5lwwSEkSzi2bUxxLv+MpwAINXdfaNqFvD
FrEiEse/JmR2va/uZDSW23SGZ+saWHjb7jTXatW2redR54sWC4/ip9FnZDNZV3oSXRFTXFqxFYLf
mZtTGdTKO2PS1p3Kw8D8wW/SFxGV1k593R3Mags/ZzVP6t588UJOsKV1ow9jdPLNHANAuZeluDck
O5rC5sQ8dFspipXIklMlBQdfhCVpZ9/I0KQ8y421NL37pC0OURsfk55u6HQY143RPk96deuPlXLh
uVexLq8y0q+pa00Q4uPHKvVfrNG89XgOH20TqluHP2pjtNYLjIu9T0/6EsNWvs17frFW6ZtCj4jQ
MordxSkppyYvWR2llQnzbtRjg2NEXWv4T9PJMihLMh1tbehRwETj04nv+jel+DMy4seRtiowhh8N
HpUGd2brOMR+PEDBbxOjYeTRJS6xg+XnhtiRb939+UWUCP0vkfr3izi6hYKupG91ivtkF0mCsTah
c0QXMQFrPgtUU826b4f7P78M9pZ/v4zrUGkvbItsw09aeMDonlOAYONufBuKB838y93rPhE9rFA4
oni7fn6vGn9iJO1k6SUfuNF2XoC34J+n7198Fr/4+13c77xDvFG2973x8tPbJF1of6ZdZRfmk5l9
bf/DbfWHuAYlT/zbx/Dp/fnps7acRA81HqUXK9tq2TIhTOyuwPWPH+T3/vyl/OJSiDQOZlkLGrnt
//RRpJ4U8zAXyUXEOzyC0PIZaUsLj/ZSK3+b3vzhy1J/9k8v64ePRd3in942oUdZj7ydXkr8M7jx
OXe1K56pU7/56y/q8+f/04vKXVr1Ou+3C5HTyMmYhRvWEbUUl//hXvvF9xKqio7LgdXRNL4X2396
UaaNTsLCm18ak9LFt35c28GXP385v7rdPl3i59ttbmz2SlQMXXLvLQ5eLO3/cDsr+7JrKSs15WE/
fi5xldqtpRn5BcEDpCHRpf/DwwvTKE44pj+ksVRl2edPnrAU+3tHLy6z+za4V10OQ6z9D8+uX93J
3MR0OFlALHQ14/p8DT/MMGjBarzUbPymJal53b7pEerLFZr7n38iv7gWOqVhGGD/XZ3504/XCgOY
2X5s53DT2ZOsI+wF09qtFgV7rNvvl/qvEG3wePjnQ3f11r79owj26i37+N//ufro375yH/9cDqt+
6tPAk+Ep9xVsFBCOP1m+KGtVcjMyM/ZLngC/Dzz9v9vAUpCvDQOU0HcQyu8zTx8LGQo0Nl2wTPpf
G3nis+Qm+NfjDu+l67K42T4PVeau/BU/3iRBF6G4BdF0ifJrc3JVuwxn7xHS6Tgbw0JMRrXwjfzk
zektKLf3qUy1pUt4DIN2ai6mqAGr0PqHJvEvpuDZNWrOuw9kLu38x3muHsyBpppObirNgbnmuy9p
CXbVw8601Id5K4zsVAz0rPaoG0jZ7HVFFS5TFgNGgsmjQwMd4UKH1oagYhiIK6ww7OckdR/lNL+T
tGXMl/g7IHUPSdRe1751FbHrBCwCHimhKJMc7lXQt4di6Iloas1R9zg0jTjRs7HgNSPleuaCuoV9
54Ub9jfBgi/NJg+1p67kgEBC1FYOJE+iqIc8qF0XRlXewIWkGokk46byUk91OCx0S/9K3O7SJLRw
yqia7maIi1GP1KaXzXKuSG3asQnvy7GQ6ugBXfua/ZLNibF2aGmgFk2kB5c+2VU1YObRxmCLdyZe
eYOadPr2yoem5w3+vDD17s6ZyoITik0jLnO4pYxqi216J1sf1yth48XoMCd90IeBjR74lCpccTYS
IdHLtq+ZxaKkALGQqbUKCmaQFd4YTvtrtMWtSMfdPPRI3I2Ui1jK7SisfunOAVgMW3+w3LJfYpH5
KGObdGzjL/p2fp0t4L1Ow40TBt1Dm+evUfpRByStLCR62wJ52+ECqt2YQ2G+IzqircOkRPJ10fNF
wTaC0Rrs96fJcg5Zyawzs0mm6nb1gE58KzPrVif/PZTDvjPGLXH0YBfZgbnQomCXN2GxlJV5JM2o
0ytcuvtJI4E8Z96j1tfewqm0zeAbWxH1NDDRoucFw372QQ+D2Kc3VeaAdDSagapyG0VQJ6khuc6N
YGN29gaoJFHDunucmQuktvGtMHnPgphzj8cgPkgeJjd8IZB6PYYg3cbW2yX5/NzUecavD3eM80C5
M8/Kx/aQdS53czw/9+2k9PC3dgLnbBtHP45WelS+ONHQrgKTQR30dmaVdXrfWfVDyDK7KDtid8JN
jskI+2vGZNG6LxVAkEXdOeeaFsgZUj4iNnFPbdyKaVpmXfdqe/KWYM7G1fOLiZ48lgLJ25mNU+wh
2VVOfpqT/sow5SbJvyZkNjrOF+tmCLZFNKgALK5BfHnXEREGjypgnE44C1sshhSnjHQzG2+Zch/a
ImmXAkOinko8f/107yiv4likLuwA9x5S05Hag5fZC890r96YoPh05Xf0MT7SP7vLfOwLjlvtmepw
Awb3aTzjlcQ0accWkchev+c2fnaVrxInx1UbOTe4vr76BODXNFBfFwEDqKzRwXtKA6BlkNuLVHk2
PeXetAl5UhPj3yZgCNTBuNoHfSjWGWUGm9zx30eMoAmG0EA5QwPXDlbNd7foVNGTENvH0mus6xlL
KfEazKXUAsR3Za5/CSbTYP4xP8xFcTJn+a4zs+jSbtplga+t28S4CsGcYcYMm82UMlACx/BRlO68
7mDTEHCGZpm1lQ8PFbe547vgHG1gnYFVn2Yd64GhU5sAEDFsb2vmXgsxYDKcrasR50KR8SqjpFqV
LXqsPWvWapJyFYcZjbyu9due/L9Lvsk+6Y+X/Lu3/G+LDwC/vzCfqZ/8tOyzpIIucQ2f9V9t9D47
vaHgG/i5OS5/D2P8vuyjc7KqE475bub+rHTS38TSg/jpsIu3dUzlf0HpNN1/W/bB9OuCxKKB+cyg
bffHZb/pJtvuE0+jXjOLIVPs+winQp46jCSUbpO4005TSg53zw01TfAClMozIPcMSvdhBaHzFiWo
VJoQOwuy0EonqpRiRB33+4CEVCAllaI6Exjfz0pjKpXaZCE7BaX5IJGhMqVHyZZ+U6VQ2UhVDpIV
569mGZjixldq1uAxy6zj+kmM7rcRWMEmHsq7zACTrGcswslcUffBV4hA9LPVld2KYpZVloBJiHGK
Q4bWNlDgugXB5+2QwE1lWIpK02UHEhkD/ao0AC1mZqzaCq7ya5n22nQTD73Xb9JRHzLmxarfk75f
UbLGqyJQv6SPvgBuX+qUhPaqLpSMncvMylz3qko0UZ2iqlzUp/AjU3WjnYi/tvSPBmCuUT497Fbt
Vdo/GNBj8XcN/nLwye3zRLlzVZmpTqtprOpNRzADa+aRYNSKntaNpjlUIn9HCo2xs6YhsQ5cTjRd
OZll3FSJxGAVuiS4puRehKzmbkcFzIjbnhX8OcdrmEUuUBsMKieC0NNSc/117rJ9kyXsneKq0Ztt
hjKX+u5htINn1xcsMYk57QtS+Jj/xV7vWB1CXjdDaDL6gcPAS6RwtPl7njwJ6baPmJ6WvH0LT4dO
ixKbXTiQ3GOhZ+NVYmJD7z9a36WAVqkCyXeBoP4uFuiDhzVmuhENlnpBoIc5NNpCXYo7idgQKNVh
rs1LhQyhIZRQLXhjx+4eJX6b9GT9lG7RI2C0XnYBicxM2SDPjsRhZXzyA/pubHfI2/GTjRbiFuF2
QBvJlEjio5aMqCYl6kmNilKjpoD73sF0rlXreImiiuQyo72M/YAIo+SYEV0GyIPA3IhUQyH5R4x2
0ysRR6OVc20qYcdB4Rlnd2ui+Bh440HRBouWqscZTShT4tCkZCJTs+6ibnjPNVL2zX3d6fqShfFG
oi+V6Ex5SZcVupPw42EVo0Q1KFLRFMMAR6Oi/eM1U6KV5jpI5shYJnpWqIQtXUlcFVqXH2DPEtmA
qjuz3aYkQnhPBupY0WhQh8cVkMd3sxS4AZSOJkPlV3uq6kGBaB5TJbgJY9pUSoKLUNsCNLk4y0lR
ItKFSq1Tsp05BCdfCXkmil6a8r+h8A1K6hvqbO+h/fVtfuT/nJnQIwsCkadR8LtWyDRzIl2vFMTw
u5qoOfIlRl/M7RgzmFIcccwjp740KJGD36+R6Lex6b1iSzpnnaUtC7RL9sjLFi2zluUzMY1wYWQ4
H0AlnDx0T0+v0pWupNC6Np8jtNGhqZepEksLz7oxUU/xo9wYSk6d5v5sK4F1RGkN8trb+zROhGiw
kZc8xUZyoofuwc1LscBRetui2hpleg5RcRPRgVe3IKfzWWTovFamTkr1OUL/HZUQLCcdoi7acGpU
xwqtmJvkUCjxOERFbgKxgYsB3K/rnzOjWrG3Szc9ynOBAk1m86iZSNLVoO0tNGqBVt3WJODQroee
A8OcnDBjQXSbb1olcrtZdTZRvceSW9aj9zRDD6dI6jUBZGVV9r5FL28scODo57oZPvbo6Ta6OmXl
6cJ2AuhdDNRR3hMUeF1J8TOaPGjjE8G2Q67E+gbVPiySY4SKP6Lm+6mk2HviDEfT0zJG8bf6aJPj
AMCGcoxwBPx3HMEmwhaCbcQf703+X4Ynvv73cYT6qU/7EviumNEZDf+D1fppX8KmRLVGAJRTg4V/
TiMoSCacafJVUwHh73b536cRHnYulxG5S62P46gGir+yL1Ho2Z/GEaqH0nUx5YM1t62fhqJFCRfL
ngI88al5T0r+zmjsY2Y1N8kINGnoLRwYYjFkurWLpylmmU8CBDpgYe3YBVBwygrWDOfyYtJuhQVh
IyxBZA1W6yyaWb9pBZh0y+d35Tz1OQiXtLnL2sBqnN7VLj0Lc1543KfjWavoVoBWAsVj7rWlxlK4
cls3Jj9uaDBnhupK5Nk9MAD77PZzfooNHIuFw8BEBtgNjNTdWo0y/PbE7B162Viz8vswVzAijRmI
QHeukPEDKuXWjAwwTVjZx1yFj7UgWpUa9q4wtTtiZRAMquY8zzM+GBuEjY/VurK7aUlp2xryQqyf
dGl+7cO32iTQL3dFEcjVgCiPWbpT9J0EmGk6JisDyMq6nOI3xuklYx7s2u1wQMbGuSt4QTWt8E0N
b15zGZbka20+da1+GC3v1Y4dlNPYwl1si5XvkvKjCS/KyMtYPc5jqD4Xgk/AKEW3JvnAR2K6eLOk
bPZubYEPCDCESOrifC38QgHuTZN7HYQXk5CODlfBqAqkK7dHDnXqbl0GtEykCXSCIBlQI4V3MqKQ
AUJkEWgImdrkt2MCzEfMnb6uzMxdes2EacDPxjXSVLWWVdvfyVZAfdf9J6kpjmtUbisRM65y76FB
vemazLfZxClWtOu4D/1VoVJfpVljSLZKzGy9stBVQAx5LXNdbX2TDXMS6Lm4Lq02v6PSmwvXChbP
5NiqAbUTQDB67Zob/M0vmDLUscxpV9CfmdOcaxVf0DwrXmF2+xiH7oMq02nTqLBD1XgBoCf7PeMr
ygbTwNUWOaBCSUnQsNQcM08c+jh+KclRzCpQYbN1KUhYVLgkFo3wxKZV8YsiYTdfN81VG898ffr7
UAbvVUivSG7iIQZOdYc4hOJgdE8V+Y6kauXOI/FBcxgDtskBC0IaxJH2Qx2K8MBK7SwSEiP8zuFU
ofMuR78o1q0k6ZariEmPIWejEyekZ8KEh0aZ3Ap37lNTxPWynwmxNU2eHxqD8NuowUkLJ/Ryqvrg
JY5N8SyFCruEYX0dQ1NZDCRhRhWJ8ToIucqjK6koGJVrtzEKQg7KyRsoT2+j3L2s9saegQ7x7u/e
X6PbC+UGrjyWqu/+YOUUrpRnmMdiS4KmuW6Un7jAWGy11S7GaExXIcdt5T1mxglWT/mRNUE8bVIe
ZdpCV61FiZjLf2jYmGPpczDoH6AbHu26OxTYnX2rvuuV/3lusm2oAUXNs2Be5JikgRZjSSMlm07h
dWZ1N4kcHj1lq8ZeDbMClKRyXGdYr53eOFhYsaemYQdLJKZSLm1RFCYzmPGUYOB2lZM7m7xmYdTj
OahBiuTM+MdBx0tSHgzlA58whFsYwynTulhFDIm+vK6oY4G00rwHgY0nAVN5Gjbmwqo8b53H2Wuj
nOeB8qC3RnlfhNZx1BgyUm01AsIiNvhodjEcZmw2MIs4Xq4pdD34dlT8d7zwG29IBcr+eAlX44VT
FzV/u7xHTfmrGQM//vta/p3qwDne8w3h+Z6FJPdpLSf1xpKt1m3zOyD29xkDnmmfnwG1DwqW8id+
6vfF3Po7pXr8mAAR8T0y91cWc37Pj0s52FfKo31ydkLH8scm5LPUVRum3bCbkHTKYLsxjpEV/geB
Cx37h2soK4AHXglOkscxizidksA+6ZoZsRW/TKfxCjvkPg87f4P9IK43bjZSMj06w8rNp2Y7q/iU
o5Wc1fXWs+8MPM9QBFvfObu16zf7XAbVuas1r2JSajrVWRGTxrXFnERiidaZLjABhAs5iHKXhFm2
xk4BanGs5m2NRWw96HR11KFVrZtiiLemw0kg753r2M3ltkwyseoKWW8jTabYQuoi1rZ5xhp8l9dz
+C1jHr8xfzNkeA0zcf83o4af8q+1XlrMOcLvbg7SWxy64MVVN+3IXxFV82bWdLqQx/DZLPVjOIbg
F1N8TAnOSrOvtkxTTkPn6Au31a7oCXy0E/O+8pu7GpudzPtHB0AZlM6KuEdknSrKmaRVnbAz7nUp
E9yvXbSSo3MEWbfwBEHZXhaM0EEiCux7czEdOJG9lHGM1TN1Vay5utSRE+/8PDx1o3gPnWQ6hqXp
Lq0AMpqX6h9hSkZ28v31xExh0fqM1qUFLrEdR3ubm8F8rKby2MM9G7ME3DREgCy161VkziT6y3U1
ROdssM11YGKPlmFJt269DwAmEbhPKcW1if1oyb6eFfKdgFXejITyw+yuqNtjaJJU0ibhfJl6uHJT
LWlxMpzNWHKrjnq0BkIviV7nq4z90FhW58HCkK/HuM+T1qPuxoMXKGNbwfiIHo4WPtic6Wse+AZM
cxYOMbXnCjQgFd2YbhP8i0UqPiyn+6pjYdwy58iA8WaqxYeW8Jsy96jmGq3Ixs7HOcnVtYOfxPq2
8cSXRAv3s6Ndtbr70IbaNg0Dh7BbTVOKpwjJJwSOmz5nmhwbq7gO1soglDlDssN4u/WG1lhVJm88
/LxdI/onuh/J1hGjd33/dXb6cyEwRUb1eLBTcT3zS3udY7SKEFr6tiu1N6PRPzRt3BfWfDIDbee7
j2PwWnjzAfeft7Fjua5dG/aszlRofO+RBahhapnvJCfbmK5lQB+aSbER8X3/BVXgxWTauaoH/UQQ
SMLJu9C8OGWU3oRzB8trrjZuqN17Y/NgJf16lHh17RCkZc/kDeIUbUI97vAi2QNXIxXe64+lFt57
XvbAesUmnvi5LL8Z7niofO0wjmJeNLFzqGJ/m9JsQwqvWcEsZQjUWe2tNcQHXt/RjsUr4FPcZWbK
hKpgCmaYZXyVWWOyG7XMeCkw0z03XhHBYpymAL59kNyOAZvDcSQ6apG0RYtqw1WlKVdtqjoMWizf
laGJ1cDX4tSThbzqrJnRZsp2u1l2paO+YTqjqEXlt1CtqsB7J3snIeg7j1pjOOu+ca6CkIrcIC17
wgJ+w81sqkLjLj0CtyUlaNi3rRA1856hWsm+5BSjx0f8lndZmWCnHtjw92WDuONbz46Dxd6hNq8D
nemqcjgPg/c5KBkYjjPEycQp3i0JzNEhXMpXjvGkZd8LWYJEiKdkKyd5ijPSjlMS3OBxe+9GfxkH
SJUxB6BAE3fIQS+mWb5S1EpRWbzr4/YbYdpLas/xRtJDtkDdejHiDgq1+8p5bUEklsOZDjUgGGJE
Lc4Hi5jJWhPY1CzBtobfG1fGV0ppxm2JHTHO+xcSt/iVWxIIUffatNamrPmYEwAegfuk582j3eVP
tl6QgR3juzGdTrk/7NqKgak2xE8ynPbRwFd0HM89ra8ygypLfPW2beeL3TgvY2hfFRC+PKt/GoA+
gso7RC7xoN7ibDcCzeDTWOdO8jpXEQ2ZsbOFoA/snE4xOCfRXjZjuA7NvFjGtnOnz3xqTcqAV+bu
PYrroSUXvGwiQUNJeKwCOGgaWjzO8XZXxPLJnipmeKLe2QpUB/tT60Y8/rz6LHRPhEt2dSI5wdkv
ftmvgrlYll5CIBD1MbPYdAcZhQG0E3qUtA7RriP1wH4yeBNtcuC9XkXziPBm+Aerm24a+gTJ4jaH
WGi72nZeA2Y8PVxai5MUe9QVisK8adj7k5AMr4U1fgvEYKtegldhxQx55uhMUH1bBdV9lrczqLNi
11P1sPP8THnX6bQwDPIG0asTwKKm1xGLe9Fu8kxwbLGs4RpxJFx4BEfWiVc/05MlN5rwLkK1XA15
VR0b3ZXLFhrrBrDhFyDklI8LqT0PpcP9MiuvlqCA3SQc+XUERrsyIB+SI5yM8wAd7rdZ0x/6xX5h
raKMxnDYhZiKnPaTy0ZPbB1IRaBdxTHG9cfEf7fs7actIGO6SRb5f3BV/nAJtdP6tMuZuIudpOMS
AkCx41668kIV3p9fQw1W/uUD+W6q5BqOcoIw47GVlPX5GobRTdngR/IiCKh77mVuMfreA6D/88uA
Kvq3y+CmZACFwQrjyU+6kyxignJJLy8dY98qDtkY8j2sHjrreiDs5DT4/e3fzG//VSoBUPzJUWL1
kf7tit3Mxy8Ggvzg74cIw/y7rSPhUDMM9AKH5adDhPV3g05XgpCkNS3MK/+cCH5v+ubwgHcJP57K
cf7zEEHxLOcK+FH4l0ybrqi/xIb78dsFGoOyV1s5WKHDERZVk8zPt2UbdMS159y4zguoAkl0ciUR
jX5af3pnfvENMzzjxxtTFdBx9KGa3PT5NtvuTxfSpEhsWiCGa9t2kn0rhWet7bk7ZFEW4ThCVNMG
V1uhjV78qTtVSfngGrgDSgY3y4EN/Dqp9eTY17bPvsIXS3NqUfNsyNjBUD/TYVEu2VFht1HwnLBJ
7+A/eUtUgms8tLCIXDaYXsV839N6VezMw5ut1bGCnUrlLVMWYuMroF07kx7RTeD0G4Cv7aqjL5M6
hZH4vPWkeS4xis6H6mw+IxMUAF3tO9Mwb7VsvNI04gGqKgGCEOu65+9rv78agkwineoPgfQQ8TAV
rIwQXwXejxtbmzeD1T35HrQm6b7KbGKVQjNIOjdfpVN0TYr/SE6EHLWLwOUH9bYJ4ayadf1QOHIX
KX5BGoZHVPB3gqvJps9gWjs9q3laUM2tdbJYkLolWoN9iCdpv5yt+GJ59cabUo41EGKxgb12rv5Q
NxL0c9YtgNXfulW3tcGiSwdGZts3GX8oEDCipBY1dfadhlFtiZXCW7r+q99ma2GOq65iA990VrLg
1ibYxImkpIMKhfSbNzURUqN91vrOJjeY5QjHzlJ3pytjwC42NRaON53qIz29rtIw3qDpbefMOpO+
kERRra3f896Gqr5cc+yeqK3/mvf2jqHJbZGDBTTn5pFsGAeYBjaE2aZ3zdDtdTvpV7UpvgjWiYUc
psc0iuztaM4XY2Tq1oQx5RZz/VVPja8GG/plMuo7MKl7xvIAxYFuZ4l9kyXeCquYc3LNGXh1mn+Z
4/I5dJuQk0Bx7/RJvLIqlyNBR2gMbIVhBhsPkFu95hZjEmgNIUD6sHqDdSXrzexpaHC2M8LKEiNS
22IyatnsrIFUhnCHje4NikvOoSFNbcZQkw6DRt/Xlvl1EP4+ssHZzAUdFaAd+8fENvGjyUFnH25H
8EU7jlnESI29SfwCFtxVKyQqXvUWONGtnmgfDBYgAPvNTcHdeD8ZUGZk0zJ2HFbFQLeKltlYqYb+
5NVpsVJtnTbY9mXf9NE+7eTw/9k70542tjVt/5Wt/l6o5uFDt9SewYEASSDkS8kJUPM8169/r2Ug
m8HJ7rSR2q+0fXTUfUJSthdreNb93MONGVoVF4f81AtweqvyHop9MfF1hCBhRHe4WnVd/XV0wfx7
XP3bUD4Py+w0MlmyWhqdg7+vY0k6HmNfhyTn+3OCNpJFiDjH7OhlkbuiTfpGufRrc9ln9V00co2E
iIMPbv61K+f0Bo59vVxHtbRCML3puVyMxhBNrRgDkSH+Fuuf2q5aQYk7yaEgxAhvcLCdqgsZ1zNH
R/88avOOdJxW1Ral4meYNOTtUrPCeiErBGB7rf5NRLEhrOpmrlSWE73Llw38riHrbkAZcGcf9Ku6
lu3TXAr14nNGxK6Ht4wL904E7/7DNvqyfcOiEWxjHU6L0OKD+ojj/1mlUlWVpqMxGs67YWpN9KV7
0n/KTo9D5J2b9Dqfg0hMkT2uMbOFOrnUjn///q+KmIe3FyazuJWqBiYCL9++dInykMxmPG+tTe4e
OzL8i/4bQUT/ADzteh+0+LIl6OK6/LqKgRJqYGffjudK8MHvqwn+MY533DXVP7zPy9PvYTgZT85A
BDXwdF/BW0Wh5waO0vK5aaxLE0UCUc769e/HTN/1O3v+ZV69SePLcqVGYtAW1RUNh3m7km9tAvUm
2WnCHJtcApxMkoW6+nJmz+LJWXsaLK6quTu/CE+6yaqclR/qGX9xli347/zq959PcKefl4zbXyoY
IjofrNAdw3j1+eJmHJV0kJVzYwKR90Key6fKtXeCeTLC5NkwOblRlv30rFh0K8OYJmt/ol0QILTo
JvF0+1H+LSRlyrdfY9J4bje7ckPFv/pZRSoCVZYpFaG1US/yS/oJRauYBRtwxAz6uTr15M8qUsOV
WNH5ET1fA9RZzO8nKBpjU0GXxyeEh9Jzdv4EilaFe+qzSbSlucuKrVPo8hFApcXPn21Mfed6kWS6
uE+PuTWApmWJ9r31tdr9qJpTLUlOpVBSOSGseCo1/qdB90gAgqU9S9VGhmRKoAIJwtG8cWp9VhmQ
VOWOI9XutXLatNmGYBXc341gMxaIGBPNr2ZlZRLS5RXTwg3Pw8K5yj0Xvm5CJdHaVTC3B9JoAses
ZhH5o/ChIojNUtLOoX2IpA0SzFMConEaum4V8yLQEPnHCRbpPS6G4xIX4A7DnQRfgDC74Oy5yszs
uNIrSKAxpYtagwo5Bb7jQTlunLC8ME2cwZpEJbkmVs9VuSaAUB+zhR2BlsKsz2DuFfea621w568R
51pkHt51vQr8YhDCImneDGfm017Vr/PUo+Fod/lKr1LU0FqXT6Ocm7uWEfyEUQBISduvtTEI52o5
3jW2S6Jnu1acbqlY/YLmx7LSQLEIXVdDyG11DNkb4eVdjZVV1NE1w8YTa0osTvAeMTpLGMtRPiNR
aJPgs91g7BTH+SqJvHmfhZ9jR5phbnaRl/Ia0+ipmwTetDSSi5ZfaQOyOJf7oEyXtaTYC9vMTxQj
+Q5jnOaz5X6QW+cD1pDpVI/d1AQMU8sLpQdG+EZGCfh+pWVeeiGN9ZBDWkwHmtyR/HUY0XBNqK1+
qIa2AHnvJoHa/HAqH18hB1jT5sdwue4KXammIbgJsGW/qgf/TE9dey51PTSq2r/vJIj42E3dcLR+
rsf+QmmVb5owYs3Gm6ANnalJM2VuefptoPYnnewN32KfaFvcW0DVEYvbIh/OwFsrNMoL1yFXpbSl
D41VfB4CvlYe487qefZHt0chTZYPnUGKMB8hvhGZuOGag7warXslzPR5oNRXbR37M+xK1Flsq2eR
52hLQyJbxR2XhAMYszJpy6mU+T+8qBgJvhzGhQ1oN8Vhb6lK1U2AT3DGsiEwgJhYexD+XtVIwxhV
lcINq+908jFLCdNd6WtJaI6ZI9cPYXUaru/NEb5YEAZo1zo2dLRyFVuRRSMe5bJRoS5I8mlTwKGk
tXBf+XhtJPqmrdwPZkyrOBrCMxro61yDNmVmzpoMe2tCTEILtoWvg7je0HHplkWfwMDzSYhQnXiT
oqMfsYOg0XAsV96NFmk5Ag5cDyXf7gUf44sl+Z962B+AUV8LXw+Oc985Hnu8Ojw7X7tZ9dVEsoF4
55OE44iv2R8lKlhfNu9yfTxLEmEdwdwcTVQnuZI2M+J/LluSXyI5W3lNsCxD35lHvcOFsO3Nb1Vb
HftApJeujTgZdTmalW5tort/qNz+PdoUdvpfH23H6bCjxyr+zdPBphhHJtIssAEdzxRZ6KOeDjYF
WhTcbgJeZA3Fs2ikPvVYrSPd5KiD+4OY8KEz+3SwCcsqKEGP9Cvq5D852LAAeHWwsSGQIiNCZvgU
VEivADXNj5HOt1Z9lkSmjx93jMVFluj2eMGVaUTxFDi+O5pz3W9lH/OzNurmhoKOADM0LK5JUybS
LV4XNmol4iRtpIs4FnUG1tZKbxYNuV6xr7FlpwnRLLoeB8xnyQ1bdSa5TpZ+G0sT8M5qGqdMZ5ac
t1AGDKNDD0JYZVhtrLEuCTmpcWms5Gnfl61TMbn9chlWuUNyiIzNQ18SDtlh9F1kHCM2TnJFk0WE
4UYhbbGia9cQU4aFagfpmUWS2yVbSPddTg0DeDr0ve+tXvaLGMOCD/BlsjmIgnsWSoRr4Pvor0yd
vEN0U9pwAVsXhlOTdadRanX4UrX1rHTze/o6leDDqOXGDoJqGte62kx918Az0Qjrz2pXJFNG0MDH
N3aWrR93HzyahAinAjz4ddT6owwBQ/NgtTRyr+MXUPUTo64ljD/l4ayUy3ARAWct9FxBHV9VeIEi
46IMGdt6VRAhRXc6B81xHF/9po35eO6PY0iCn9qo3yPO9XVTYHY0RGH1VfTWZwq3sXNKBG822knz
sWmiHwxpelwQUPJJoaUQYxPA1U8nK2tCd8k/GzgtZ95AA8qApL90HPj4GIrbZ/QucDwu0nCK5Xo5
9TVv+AHVPv6AN2B11SRZs6icED8NRFDQR5V4nJh+FS0Gx2U/7wvzQmFnWwSFUZ1rgZbP6kbO1tye
2nVVRSfuANxLm4poamPo7zuMmVd2nngnfYZfPJo4SzoNiE8HbqtArbIhjid1TVJ3MRC6nnukw+qY
ruJAXiKzG1XHPYlLybzC1fAa01n1gyrZ+Uc+vruQaHucVpkqaLCl/HEYfRAKjqZjL0hxasTK9FSv
8uHSL1EqtFVXzIeg6edeO7qLqqgqb/bvpUGW4aIKhfevd9ZzAt421VvoWfyrp70VL0Cxe6GRIa6Y
WPvnlwblSHeQLYMtU2tBR/25t+ryESU8JFQd/z5R0LPjPe2tqGbxVKCFIS7NW6fAPyGjWq/3VtGo
UFVUuJBhdHy9xc+fXRp030uhIgzKRyPu6mhFwhJ8SruITokunupjdUEdde1SYONwGi87z7mWAr+a
JL6L+Y23dOjVosfqv5R17s+1jAKck97R5XVDcLuZ9MdaX83GZoXy5CbzvBPXW/i291EJHYDOoLIp
+gZnZimYaESV2U2oGm5RgdKdbpAs6q59Y+luPLfx513oXX0zZsmKxFNvphntOfpBbU4CKPcM3JnH
lqhRKqBTHaOLSWPFV6mELCQp5bsgr+67Ub21JbyDsibyp6Xaf0rsHmvbnjzzQbouR1KHevzgQ6Ji
YPNheGsOw1rSo0tTGYilTAlD6mn+Il/iL7rVveHiVdyOJHO1CvsUIVShGhBv4lJQJn5ZQBvRfsjR
V9SEfmXSm5engdGVKzN0/Jlr1SXBKt2gT41IxqUp9TUNfxNt6HCg0mpnowS6286DvsSgJm19ArrS
aAUtQKSK4n9b630+l4mvncCPEo4rdrxABQn6pLYlyVYBtfLgdfUFVnvkjY1xedFmWrhs8ragTo0Z
KrLOJ5VgrfpFSLhlSuRnUphfsxGuMKrHjk6/TjpfRiVWC4dmWqIoOhyXxAyrGy4QcuEf24TyDCHR
FCo9TrVY10B/0INT3ODDGWqf6sTn6F72JSaw+M401ayA4Uq1SUtbiZp71cnsJZB1My0i2JHYF39v
a359qu2ISEzk1wpb3iTAoXGFW/mdI2Xk3XCOzvGTQ6vq6Mex3FTTzAjjc1vzMLmtBI9TQmvqEMa7
1GMNN+u2Mpa2X9wlveIsCSH1J0UpxefWmIGy2Oz0odulG5soHFDeQF6hYGJsZAmGE3ENHGF1VM4U
y0JxWUrp93xIPYiRMHoqgyOVVMRy3VlZt/a6plw6vrColm1tmdcmycdkJU7cyrgPdEuf6IN/r3CW
LiuiyIhpHBP8G50cQ1zb1r/LCRAy9sM+/O/AEtGvFA253s5dcGWyILm4wQho4u+sOe+kxHh/1Y0E
hs/9kLOZo9nuF05rlOE90dnDylYU9SLDipr7hVWta3eU8QJE8V3K/WcIoNx1ZToQEGYjrCuLq0Hi
RiePLhxvWtHzyifUrq1uJK+4jsH3J67tdHMfa/Z5m2QZbkQW/tZDeKWkGbf/Kvg2OPibqSDJuLLZ
eA3neBeNzUWQopoxzDiYZimSV6cxYUe13xrZXXSejeTEke67sBbxl8GNJoUnWF5+hdqGkKiSzCmI
gNhEnFOG4riJnPuMdSo1zIs6sT/TwzsvFP+EK5s1ScvszJL1H6rpXLex1M+Usj+vR9QsdlmusrH6
VI3Ol8I33blcJ8TSNuW8DYdgEmAQsNRg4U7JakOAnqTrzqumpe1feuTQQYmlCmhirVgb8gjOHWLv
naor+LgnkeV+tLXuVOph9A7UyqyUoIQW22OwFcTpREdf8x0ud/rNjOpw5WktlmI6HKC+cPQTwjyo
As2smuhc153KYM+Sm3RuasV51kmfELh3yzCKghMPPzokxh4g89DZfCR03INUI4Lq2ZPcrPMuEhqN
yL7x6GvE4hll10Vyy5vWueHPQzdwljI5KZexV+YzW0VrxQ7TLOEN0aM2emeZ6wr5uyH22SF2Xuww
1rDsGxLKXXyz8TpL9LkzhtiOl8Z9NXiwH/TxGEXYRyTc60QLPxgNpD2tk9WlRhrVXANgWFDZBQsE
e/KS6BZlpsPzXalmD7sFXXzgxyPOYoG6VLWerR528spPWLVqBx0iTommNX2KpSFnl5ILfA+6lG9q
lDSeYGJ5kyZUzCWm69x4uTrieQ0hiVIe22Srayb/ljrbUkf9LT6K8fGOS6T4N0+FjmIdUcVQmRjq
U7f85yWScCfkvLJuKKYpC13vz0sk10siooRa5+fV86nQEfdLJDwOeVAOd0Jymv6k0HEEueNv8gfo
KIgoLXYFRoZpoQF6Rf6oRo7OxmjMM9xasV6EJpJXiODIT8aCgsoYiZfboOuSVCYbvFnXyk4HOama
eRNgn+fXhhyf2k0g449JnxjS71Ts4PrclRo9dOZ0ZUlO0cbOiPtJV7N4rrsmkfC8kT1d2NdbkpMD
XZboTNmhzf6iCeGhwwDMvIVllAD9fXqNwjaYgj2v6tTCvqFqaxwraLmWAab4jSdVC7eRP4epelqm
HC3Epc3cQb4ka5EeJtzKSebm6zxL1mnhflC6/mpgsU9omrqTPE84/I9Ba10KAyiG0FcJl7a44MU9
5nmBzdHTENY0IUXyOrGcc0WG5S9kbVJToRfphVmQY+WzLrFPynS4Vfu6nwVN+7XuDc5pL14nAa6J
HDznVZYOi87ED85sHIDKtqjp94/9LOJExGwy5aok7t+2rM5lVD6zsFEKsMT2VtJ7WpLgmo0I9Ehc
5bbv8wzYuVqEQH8B1NcpXT38HNQcr/ryqjEI0AoLUsQbko1aJIdQ8bRPcJcXhdWoCzciA0tKqEu4
Ax/rfgSjTc/OQjW7LIoO64N8HSAa9Xuuoa2NWRGqGhiH3/UBwVDpt7NakydtHBF5h+ayJS1cJzW8
zClShPvYRBWR4vRnI7r5xIxLWn2KyJYIVRFBLpNFDsP4ukm5dkb4piyJRAhmaD3PewuPdt2pp0pR
4z0J2baQy2tPJJ6jD1sPg/Kp9lD59HE7CWmHR2l4CZX5Q2Bos0ikp5siR90Vieq5yFYvybKeysSt
yyJ33S60u0wksSsik90gnN0QKe0+/ONUi75QxF4lHGFZXnyUfHgblgh817fR72TAh3Fy1Vn2TBRK
jazdyHh4z6zQWLZd/KmPDMjkgqblYmfsb7PlRcr8KKv+Os9LZaY5oP5+112nlirIcPV1T0y9olef
9Qrmr0eAfeo7H8PKmEohVYJRf+9F0n2Vdt20sSIE7RE2HOR8z7S6+YQLZoToRcHOcfDgGureqqiL
y8YcbyLb+8Z9HCsS1MEQE4MChROUAV1uvrSBbE4UitFZZvpQX7MT2XI26YjGWfYKdapmyieavAss
ZT7nlbyUtOy8w6mTBHrtk3DLm9m+TKhrL515vn6KK7U01aJg0QfxNaUc1oTKsEm8sV9Fg7dq2lIX
IKozTaUonWkJLiRg9TdhWrRTiBecZD1cF0cebKKcZFwVx1IAOYsEq8eFqxLaipyBcxVNf1wNH9Hg
35Ux4G5WFme5ZX3JCtc/KROOVFPp70jDuMQ33ZqYcG0mSszVpxqH+64lRYuyOcWqWdWnVH22oO8o
y9jqMmISMdRxsQkwQfsmkSLhd52jji+GzJjq+LdEXr8x/ToFK0/TeW86p41RnFKu3kV1T45xz6Fa
RgMTqrbg5Mv3ZaevvSxYDWN2k1o0EUy/OLa0CNf3XoH6WLQLu5eg2zTmpU5P5dirEzSCoUDI1fAU
HvgJ6MWS+mEN2+oCYvc6icNjvy4+uX5xX/fY06UdstvM/Yi44XNuE4yhDUMxgTNprh32RfZGcs4o
duZW1ohCKbtOM3gdVkdOXszN1YCcNO88GKhB2105FRkaTUZl36Y5Dw+im16rNZZjD3RFHyyxcXhy
ehXnzsG/Vru7roQJYRkkOqeDvvbN5KYfGFHFIfEP3vncbbOrMsQ+glr1StWNO9+roYtGFnlvmoDZ
sx+OqgMiyvetwmTIU/Nzjtsvik2ookZMUI6CF/aiSKzzNiQIV0PdJnkd8si4PTOk6JKvOusa/yNU
HFy6ETJNvVYiPSO2Plgc7jPflo/BEgOyn+3+WO9Qf+QuxBgH5UYc3CUd7QRX7zB26MZ0VUXtF6i6
49S0+nHSPaCV/1ZJ2ypJ6I9+DQh9Cu7KcvMWEBL/6qlOEoAQ7V4FExRyeF6bplCmUJpoCkJzxAF/
10nOkYV5CMkRBgYp2gtBk3PEQ1QybA1Lg3P6h11k8dFe1kkAQhbufVj3wXQBd38JCKGYTHzUh/JH
WgKAGcmIqkj5lnm3GCmNuKgRWJh+wMG6wRvWUT90OX9eqtZHE0ZOU+QLKP2XMU5MuHIhEMGaqYr8
r2lpLIvcuiR96TR3MHGqrBsiOnP2xHo+4vJUGxZGvhXGT6rXfKHU+BwKS6jGAd8tMJ+eYWF74+Ib
RYjv2uA2kuAnNZItoOAvpepExSQ4TvlGOocBb02jMVhVDST7EHcqopZW0PJwPY9qlrl/g4/DlxE/
KwdfK2pQajOcrqQuxf6huYowJZnoeGGVjrQY8cYKnIi+LG5ZuYOnWkd0tx2gtNZcO5pYeGvVbO3A
DTZkd31p4b5VVjhvDfhxFR3Cyhx/iuNRmHVh9L4OyW2ahp20wt9enygBJKVGQjej98fq1vPLvOzy
5nKok/JLjCtYLOzBzILQJPzC5MQgSQsDsVzuT7GgNiadZ0lzA5exmh4AvKxmreM/ZiJbJdLJOBmU
WyQ73zx8ygbb6BB5ckca7e5bJMzM4kI7xY/3ThM2Z1Cmv5jC+KyTsUCTdHdRC1O0Qdijyf2wCvFL
s+1unuOf1lSMmScs1boHezWiEvBaq/ta8eeuFWbLGv5bj3SFKMlRz+X6OLPJF6ktB5djwpYodTK5
tObqFuKCUAXcFbdFB4nKUOuZuQXE+i04lqhZSRmi+zPPL4pprjunSVMUcxlsLRUgmyTgNo0Uswkc
e/6/DgkKmJwpwDknKu5tAdcN4HaDAPAsAeV5RnRpjfmwJij2TPJVe1oT4wE2ak4yyf8agwimAhps
+/ZTLsBCbNYCmIXGbQiOqA79Hf2eYULT/cozQQ3pj53KAnyMkACWAo4MBTCpg1D2W6jSiVa6X97A
QagXWJ/EOJPaN8h5Kap1pGFcU28rWxXeROzRQ1I7HEtAo7IASWOP8uMmbsmyJKe+D291AFUDYFVF
U2RE45qTehlm+UWrhWgwgGJzPchpCXtCQwXM4GDYLJvXLsZES4M/sZXu2huLiwCAd9Cl6kNX3dBk
qpDEStka2fIYzHhUL9zXKFR9iUIzJgvNp2FU9nh0dKKP71N/ieDUCOLrSJLqSCOfC8K9iTwYB7i2
pPoeovLHv+fK9lwRKcS/Plc+bKrqLn17roh/9XSuIJQVTlu4b25PgVeNBvSx2HLSgNBozNL6fWzi
QmSnyUBvjss5F/TtafR0/+bIIRSFJwLLEMuGqecf3L+3l/yX5wqaC4ofAzohZtBQGl6eK23jCJW1
2X0cOq2y5n7rsg00YkfwhgCXCtVd12OEImYI2za6UhoFMZkis9ce52MgT/rWxOalGpwOS/xerUci
CvM0EygcWo8fAiwkUjCHvAEBAyMakq/KVW8qnnPvyOS0fEJpXpULtDK6y515HJ1ZnGdiLtPqlRBq
mJ46EnsSdaTsjZmiE0PWeL0yT1TuK3P6OwkWFfa27RehGJQjgumIFNGNL7FC9OLC0srjQFW4WKem
Xq9yqR1WvTY04X0nUFlvC9B6XpjUc6QI3I8Egou3J1iuQHWdLcA75EM7l2JQXwhAFsEFbNhyglgP
TNf43gqweRSIcb0Fj43C00Gz/Xuzk6DSp/Z9mFKhU2IncyvnZxBihdU+mDQQQLf2PeIobRrTGHdy
ysV1wd1f4NloHaKJugW5E4F3lzL1cWOgH1MEGm6X6JoxT0s3isDKTYGa5wI/18UFEQMxZ2nn6V1k
jcZSE3g7Ejt9WWU1sQtbNN7DUkQ3mvgcpyBc7wHtcQkS3Yaim9sC0fds7c4XGD8x8kwLAV0mKHTn
CI9xqKQpkIvugDnGREGIjoFflvdW57rLXHQTrCRsK5SH9BjiWrWWWZZUCPbpQKiSH57ymTmvRH8i
olERiI6FKnoXhuhikFVgLDvR2ahEjyPrElInRN+ja2i/pKIXwo3gayy6I57ok5SiY+J2Fg0A0UWp
RT+lEZ0VJTaLC2/bbRF9F0t0YEZc8JXpKPoy9Gvjxbjt1WCWMqlE/6ZXLEwjEswOXNHdUWIynmDS
Jav/X7bNR3KOcBWepzWWVhfNXTlc3lUN15qn/UT89DyjB/A5+9/9pd8/6NG6+POQY2e8uU2CFI5f
XQY/asGB2X6q49v//I8H6wIVfvKLjXj7wbaf+rfPiTd8u+aWd9DMIxP4DyINdy/xAmmkOeI9/ljC
2Rs4lLoAddjzX+PvRuH3X/BhOH//d3774V8Pgrz/INhHcFFF4xt9tXix3b8cBPUIIi1UGxEJzIA/
myi/mgq//4L7DcLziWAYDjevP54EfMG/54B1pBo6jRuMnrYvevsvvj6nNaHMhEjgj759HcIg7FgO
gv/8xyPBc54NhXMEsV3VTOqL7Uv89MVyULkQ20QS6g+z7v94JuwYhDcskD/fEyjOYHgj2Xj8dUPo
eDkI8pFDIDeBIoc6CEIAsudMoNkDqsEgPEx5scpeDwK7BbQWw3xaNP/3O8Ou+cCf7T0UBoRLNkDI
QeL1Zj4IbpD4D7dO8WL/OMyh4HDbcyjMIwGEKWjLH4bizaxgKGRYdGiuDnQQlP2Xhn4kGyoMV/1x
EF4fl/BwcTEWLLKHouJg58P+54V+xK1OE/m025n/pnyi0axCIHOsh0P68I4Lff/tAY9sC9kQTe+H
NfF6OqicmUC+MLsOdU1o/5sSioF7VjhAAIAAaXEkPgzCmz1SPcLeU2GXPMzVgHPXewyCDfqiotP+
9SDAniBE5UA3R6GF2/OEsI40mcg1eJe/WA3QZW2sDZCPHvRhaew/FOYR2yIQGpZ3T1/1RQnFvUKl
s4Sa9uFgPrzd8bHAffCe+Xnn/aMLNmJLqHw4H7zeFjkaMKfBI+9pyzjQNaHsf0oyEVChQpv6RdUk
Lpj8DLDhoTg5vIkgP1z895kI5pGlKSaY8uOt6nXpyCAgy+U/yqHeqh6Prn0Ggd2RupBG7a92R+VI
bAhkPB7qIGivmx9/fr+2+EULcTX+Pg+v11dL9Qh9vYiIPNSq8U0H6I8HQahGIA4Ip9SH1xvgUWZP
wFOEFtCBboxCerhnsWAf6cJXEWztF4OwPT1M+KYPm/DhbYxC37jnIFhHDgekDh3kF4OgCNcrunA0
QcTrMAto4bWw91AYRxgs6MTbPmBK4qu+rpgEUk1z8mAXxf4HpcXCl6H0EP+9fYmL1gsMVgGDFQCD
sKdg7h3eohC13p6LQkPKDLiIzm33NUIw2A2NK/XBLgdj/7oRuzscsUmp/EVfZnuB0BTZfCzPDm8m
CJ3k3jPBsWX8Hx+3hLd7AjUVyWXUzodaLYh04z0HwRZG6GJBPF4l31QL7AmWzlRQf5ZUB7kzCMnq
nkOhi+KQqoh23c7qUVymcGGHjvuIx23f8fCWhrL/0qA64l5NcjPtcPF6PSvwisB0jCuXddg9GnX/
OwWQ+za9Xv3FUADCokKltBBOSwe5NEQewZ5LwzkCYKU/hfnH9vW6fMJaFfkWeeKihXWQg6DvXUNy
scLkFWBJe7xTvCmfVPxg6VrYj7Pu8HaGRzhwP5zBsWm8cGn4xUyQGQRVUciqONSZ8C57gsGRKdg9
u5cDjRlhviYfbLPyEQXaYyZAGgV2Y9d76km8ht3YGE3uGjgnH+pMUPauGdgT8DhSdF0s+Zd3KRqY
pgIcx+GwfR3oahBH+56Hgy0Ce1Vsyn61LwI4wXDAOvth5R3evvjIPttjNUD3YwxwY4UmvXtLQPBj
wvSA6XWgM+Fxw95jENgSOBagLz01rN8sCo5QAhl1cJYDHYTH384eg6CBugnllODRb19AFi93BvUI
e1dxzzhUlEXev0OJPxFcHgG4/WIQlCMDMA7jkYfi9AD3hIc+yT4zwaEKIC0RP/+HPWFHwegouCHY
1qFujCK1dM/TYcvfYFvEhnLnxsitmjAGC8HjIwnuQHeGR2B4v/lAeArqTXQ22xeb4MudAawFYxbW
zKHOB31/wImrpIbXGAv/lzsDhh+UVIc7CPvjr2yPiOupDR+oKm/wFeTB/BAwijuEeB3qJmnsv0na
6CSQH3JUvF0N/MBSKKMPdEuQ32M1GKpM7Mvb+wPKCEKW6NYcKqz0Jt7zj1vVmgF0pppseXTtH6f5
yw2RmwMAI1XCoRbNb4KJ/ngQxD0a+0VLFUIZ8QJBezkINGuoI+D2HepMeNye9jka7SPYKyZsVvbW
l9+eGzbelJRQD4DToe4Fb9yX/3gicIXE54jtgN3w4fVqKGB/c2aauIce6sXB2LtcBFChp4AS+ak8
YOG/nA/A7bRguDo81JOHOh+Mhw+2x5oQ2BJ0BG6Sj+2mNxuDilqIwwNR1YEekG/c5P58UdB+MQww
tidG1+tBEJ1qOPAOt4cDHQRhdLfnHUq0XxS6bXzL7evNRZLbNJdInO0OFVeR994ZNApFRAAICH8B
KTATLF7Mlj+gdP0PcIefAuWpT4zmVpoc3FW7FMy/+gtPktW3P38mPN7qTV/8TSFVfnjzB2Wu+N//
9VK5vKXoPPvpE2Vn+06P//7xK7598xdv9vS9nv5whYnRpvzhD9sfDI8f9GyToG3+75j/c7t5rpYV
smnxe3n6s90y65/L4PdPz4P07ulBf2uyxRT6+6u+1XD/zx6ebG6z8ulBzx7OFrr3wydNvTODkuW6
97Onm3jT8iupnp717LOz6Pd//u+ij7bq+D1+pfj51uXmr2lW1W9mDRdcbn57f/5/ygDd9yvM479m
Wcnkefqsz8afM2nvz78o76pd5qqCgLX3w5fxXbrDOEYcmXs/mxil71l8Wz896u9xEe21vR+PBchd
GWzip0c9e/x7LNnfxKLsO2PWd+WOMRedj70HZR2k3o6NQAhK9n72h020Y/MV0ol3ePRvDIz2He4P
WfXXf6feXXy3a2TeY4mebm7ZgJ/G4dlEfI8leropg13T5T2WqHg2/q47PrrA9/f+tZ7epbfZj2DX
7iW6O+/w/PLH3e3Tg/4ed4GH7P/wjM/+9Jxnz36PZfobu+x9ZzuPru/Ku2HHJ3+PlXq2yXfNFm4y
ew/42V27eVs7kn35Hkv0Y7lhC3j6lM9+ne+xRM/jzY+7HbWjACf3HpbfpsjsO1suA0rHKrjdMTKC
R733h/+0+VFyJUjrHdWR9h6r9NMm/WtylwY73+A9lurDG5TpprzduZGJ2Pd3GKb0r1lw5+0apfdY
teJLLFgBP4Lqx673eI/lK97jJNsUza7TSmiW3mWUPjRB9dfH7wHZmE9P/Hsxi8bDu7zL6aa+2/X8
91jPjFO9+WuyKb9vdtUMgq7+Ht+B95jGu9/hfRa2+BbTshmfPu7fvwZhcLH/V/A3O++Egq67/8N/
Z8S87576Kagioviap8/5bGDeZS1nxHDumJyCQ7f/wJDjkew44IXwcv+H1xt8aeNNUz097NnQvMvS
FTDLjnNYkBP2/vSf7/zNrqERrY39H06Nj/vh05P+HhfRLdj/6Q07wY4jXnSQ3+HhAETJLlxOkMr3
fvwVT2h2bZRC7Lb302+yeMdSEuSF/R/dfN+xkATm/w+P3gXL/pRcvgVrn4wNd/2zl1i0+Bs/4rtN
+V//DwAA//8=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11A3C9E3-CE7A-4A6C-89D8-1B214FEAEAE4}">
          <cx:tx>
            <cx:txData>
              <cx:f>_xlchart.v5.6</cx:f>
              <cx:v>Sum of Quantity</cx:v>
            </cx:txData>
          </cx:tx>
          <cx:dataLabels/>
          <cx:dataId val="0"/>
          <cx:layoutPr>
            <cx:geography cultureLanguage="en-US" cultureRegion="IN" attribution="Powered by Bing">
              <cx:geoCache provider="{E9337A44-BEBE-4D9F-B70C-5C5E7DAFC167}">
                <cx:binary>3H1Zj9s6Eu5fCfJ85cNFEsnBnAFGku1270uWyXkRnG5HojZKovZff8vdSSaW3Rk1cIx7YSdB0C0V
XdJH1l7kPx+7fzwmm3X5rkuTTP/jsfvzfVhV+T/++EM/hpt0rWepfCyVVt+q2aNK/1DfvsnHzR9P
5bqVWfAHQdj84zFcl9Wme/+vf8JowUZdqsd1JVV2V2/K/n6j66TSv7l28NK7R1Vn1ZY8gJH+fP8x
k9Xm6d1Dta42+v279VMqM0/qqpSPFf7zvfvv9+82WSWr/kOfb/58v3P9/bs/xt+xx8+7BFiu6ieg
pWxGLNO2BRbo+YPfv0tUFny/bGAsZjZmhGETi+fPj+++XqdA764T+U2VmVz/+P0hnp45Wj89lRut
4XGe/9+l3XmGl0f8/UuRWrkvb81V2wf5+PD85H/sovKvf45+Ae9i9JtfgBu/uP91aR+ZX97GzhOR
P99fbMrs3TPL/W9eFXkrftaMMmoiwPBV/BDmAlPCfnztC3JT+TmM3Q71zqO+gLfzq/HTnxiyl0q/
+3cWbJKNPgLA5gxZhFBuWi/rj48XKJ8Rk1KTYfZjAb8IhxeY38jcYbQPDbKD8GHQD5GdGPb/TkAM
Pq2PgDubcWRywm36gjss3x3BTMiMMGIyG0TGr4C/gaPDYI8HmAD0mOTUQE7XT6o8AsZ8BuvWRoSb
Y3DRjDFCBEUvahm08g7Gkxl6BeJd+ikI71KcGMAP6+ydJzeBOgLGZMawxSxB9gQ3m2Gbcszpd8m+
i/GbeDoM8/4QE5DeJzoxsL1N8u5agRH/94Nt4hmzTFi5YHE9f/aEtjkjyKQgtEdS+01MHUZ7f4gJ
aO8TnRja2+l8rtZFLY9hfbOZgLVtEpO8WN90LMfxjAhimkJYh4yzNzJ3GPdDg0xA/hDZCWJ/BT70
McQ6m5kcVrr4Ibz3VjqYZ4RjU5gj3b1975OZeh3x3SEm4r1LdHpoV2CIJ+vyOOb41scCg+y7ZB9r
c4JnnAPelmnt6fG3sPUq4nuDTMN8j+zEUL9ST+rxKJrcFEhYAtsvmtweS3Y0A7lvmRBZ2cV7MkOH
kd4ln4DxLsGJoTtP3nmqBO/r70eY8hkjwrbId/9aiH2EmRDY5NZLaG0kx9/E2mGs94eYgPc+0Ylh
vkrzTSnXyREgB18M/DDLpPiwuYatmWVbloXBKd9+RpC/hbPDiO+NMAHwPZoTw/t6nR9DYUNYVEB8
DJNXsN7Gz7iAyDkfuWJT+TmM8A71BHR37j8xZF0FWa0ttnprhWyzNX9r6oPPtpkNQSmI6e1nzyQj
M0xBfDMMV34Nn72Vr8NIHxxlAuIH6U4M+S/112MgLmaQhgTxLF5SHQhW7m5MHM8szmxu2iOjbCo/
h5HeoZ6A8M79J4bsw/qxhJRHVh3HJLOYLWDNopcVvedU4xk41PAHMp4H9PPbeDuM9YExJiB+gOrk
cM/eOZDCXpdPMjsG9uYMI04hGk6foUXjUBqGSgVQ14KBnf6rMN/GU97G2GvAHxxnEvgHKU9wAizK
dfYo9aP6AcGBYg+QyW+tQGEcIQbRk5dFv+eHkRmEV7HF6QHkf3I0xb54Hfj9YSbivk94YrDfy2ZT
avl0hGwJpTPBkUXp99KVrbu1o85hyVPGEMHjNf8mpg6jvj/EBMT3iU4M7QeVqXQ9ZS29cZHzmUmF
DQ7Zd8ttLN3BG4M0qW1CUP2HbHmpX5nO0WGcR/QTQB5RnBjCV+tS5kofA+PnlAhh4FC/aPC95Sxm
wjYZhznwIul3kX4LZ4ex3hthAtp7NCeG9wJqLo9ir9kzRjEEy6BC9Aeau8JbzBi34A8eJUSmc3QY
5RH9BIxHFCeG8NUmgxTIcYzyrcMN6DL2PYg2XtKEQj0DsykV4Kr9apW/ianDOO8PMQHqfaITQxuK
wjOpk3V9jFpTNrNNxKhlf/fBDsRXENpWm7JRRO1tXB3G+8AYEwA/QHVqiNdVtTlG9SEsbkoIgQj5
iwDfi5/imU0sDNUrkPz8dXE/TOboFaR36aegvEtxYgh/gpdbH6VqAcrNOERV0GshcujugCJTjGw0
WtBvYOkwxuMBJoA8JjkxlK/WT5ujgGyDWU2oBZb3YbuboBmyIagKHTy763g6R4cxHtFPgHhEcWII
30B4LDhOoIRtCxG4vTXG4DOW1BAo4RbUitvjjPV0jg4jPKKfgPCI4sQQvoKM5qbc9EeIkNgzm9mM
UfRahAS0MQRIbDpu+HgLT4dR3hthAs57NCeG9FmdflXJU/X3I21Cbwe3wawiezVlkAOxMZQYQmHC
82dXXL+FpcNA740wAeg9mhMD+jZZPx7FvOYzDskqENvfO2v3Qp54hti2FIm8gD1SztP5Ooz1iH4C
0iOKE8P5QepY9qo+woKGrg8K+Snyo1XvQAbLBqfaAitsd0W/hafDKO+NMAHnPZoTQ9rZOot/P8xU
zCxMnnutXxbs2AqDEnAL+rAxONS7ME9m6DDGu+QTAN4lODF0Id8P1WTOuvx6nEJ/c5tt5jZI7p9i
eRzXtgWnJqbfK8N3sX4ze4cxPzzMBOwPE57YHPhQQ5fHMZa4PYPyEwz5q9d3wyBi2+dhjST5dI4O
4z2inwD0iOLEEN6m5Y7UsMdMaNlD36v+92Q4mVlQhATLfxQQm8zQYXx3ySfAu0twauhuykfY4Mb9
20uCoWAE2cLm9mtdWgja9qB8FLODBYRXk/l6BeVd+ikw71KcGM4fNuH6GOUk4EJDi4YNG6O8oqS3
xf2gosEYe6lFGBlk0/k6jPOIfgLOI4oTw/khXOtjlPgDzhaDkBenrxV8kxnsoIA4+F4jM2wyR4cR
Hj3RBIRHFKeGsErWRykjgTYdSDHybeDz+bNXYUBmyBTcQuYY4ckcvYLwLv0UhHcpTg3hZ7/KLevh
CHoZUlQMxDH60U17wOyCXXCgDHgv1fwmrl5Ben+MKWjvU50Y4hewqeExqkjAiSKwB4r5Y8eycThs
u6UgXIMwyahoaDJDh3HeJZ8A8S7BiaH77ySX2TF8ZD6DFh3LxtD7/vwZr2WAl8HHAs29q5Onc3QY
3xH9BIBHFCeG8AdwkWET0L9fXG8zVLCEwU3+HuLa68Mis23nLITAxob1dJYOYzx+pgkgj0lODOXL
dXyMVSzArKKwZSTsaPL82Sv1A4ixhW1op9xdxVP5OYzvDvUEcHfuPzFkP9QqqdOjyGjYl4pDtxyU
7r1iVSPwmwjGnOzFMafzdBjhvaeagPIezYkh/UUlx2iZBE3MGLTDIqiw38lRQCYKLjAM1QS7i3cq
I4eh3aGeAOvO/ScG6fWmWT8do4sGKjJtwqBm83s136GyASxgn6mxqzSdo8Pojugn4DuiODGEIZMG
jcVgYR1j6dpQsAeBDyjbPJxlhBVsIoKgTGikft/G1WGkD4wxAe0DVCeI+GUt9bubr1Lnx4Ddgnps
YsPyhVDH9rMX7UIzCGsjKCEYVQNtX/4bWXsd+0MDTZwAh0hPbBbcglG2PkZcBNofqc1gw7HvSYs9
rwqBV8Vhzzk66pibztFhzEf0E6AeUZwYwnBoxRq62o8CMp9hqMbHEAB7WeF7fhWscNjeBLJTI8H+
JqYO47w/xASo94lODO1lssmOUUoA5WAEYiBiv4wX9p0SHEMfHYD/a9/UZE4Ow7tLPgHaXYITg3WV
9cfQ0GCYIQLAgl/18hm5Vni7wIVtQxHQLrhT+TmM7Q71BGh37j8xZKG14BjIbjONFlTe/9hmZqx+
t71wkIOCvcVGttdUfg4ju0M9Admd+08MWReCS0fZegKg2+pUSEq8onUhiwx9kDb4zburdjpHh9Ed
0U/Ad0RxYgg/yE15lCZH0LY2gpglfync2tseDJoc4SIU7kKpwPYzCnxN5+swziP6CTiPKE4M58u1
1psjWFWQeoIdHsEL+r6HzCGcbbhsQonm7kqeztFhhEf0ExAeUfy/QPj1s+x+Hvrnrav1/Pm0wF+O
s/v91ecXBGcbjki/27KH93x7sXNXT3++h61CKKxBsH1/7gO3HWjHEn7uUPiB3y7RBkrJ/nxvQHUA
tEfBwYTb7nXYpcAGd6ndfL8E0hwOJGTQXsWoTbcn62RwoEv45/ttYSCY5JC2hEoSKOK1QZVrVW8v
QfsGgcM6hAArgMJ+JsL8eYbjrUr6QGU/X8r3n99ldXqrZFbpLTUIlPzlvi2/FrJgUxSYhBy4Y5Bo
2fKXP67vtzUV8A7+T5N32sqCkN7ozkTu0DWrtjcLD0eUOqVdLBQltVNW/WdGBurpwHwsKb+sRB97
FvLTRdT55rIqw4uqVcjJUHZlRKh0+JDXXqeb6660tWeKEo5BVPXXXmRfQhnM+zS5j81omfXVOaHk
vsjzyImKvnZETrRTYnKZpbHlBAb7qGOh3ESk1dnQ+h8HFX22gpA5Sg2da3fpjRXQG9zac1Goc5YU
q9ga6Gpo/NKtY8LdJuyWQTzMCc+/mXl4X7eBdZ4F/jLvy69c9o7Qw6dOp8qJSUocSuLYsc0082ju
u6hTtcvy8FOL67/irjHdMA7PSK0yJ9esdNKQlk7VVJkrc3odp8V5EpvUacvyW9GE2OkMVblDwm9k
WuZuGxQ3kdXk511axYta+oHHUhU7cVgGrkCBf61thbxQ1IPtFObwjZMmvm5M9jhIeLm5n4Z3xO+R
E+pyE1ZIXEUqWVnCII5P8n4ZZprfaNmlc8ZaQK0OTacMqsCN0651oiALnSbC9lI2XeDYZWOdmR0L
7lBA8XLIo8ApApk4aUYDh7atcmRKgznqk+iM0i6ZG1KSZRQmg0sH06F2Z8EUUOos9X3s4a5Hy8TU
cmGi3F+YLU3mZVqRZaVoOs9odImz4mKoops4w6uqDwZPpvybP0S2E7HUnBtaUq+v+2iOfdYv4zpI
5igKObwI3M9ZWYhlFdmBE3VlvRREN04alLmHJJb3Wcv4ss6tcA59itEZQr7vNU1CHU2pcZdAINNJ
B3jSorNtR9rIXvDAqNyob7nTqyCfG2mNnTiO5bmldbsMSPihJ/q2rlE2Dw3eO6rKoc9Wa0eGtuX0
hTDPc6GpE+BeOv2wfUWSZH+12oo+ZqHEjg5FdtbXme+QLlBO4mf4xuJh4IT54DsS3rtDS6M+4y2T
Ttiabe2xWj7FqWQOipg/b4LUOENVtKitZO77mXDa1M6dVGSlQ02aOtyMaseIWu6VeZq4dhPZdwPu
7qKuvrfbNJ5rEmHpJiS5jqEf/MyKi29VNnytcBMuqhzXTiKS8krijrq0s72kLOyV3bf+pW2wZsn9
zLwnRv1JClUZHqrqzl+GpMPYkXX+2AJXbDBixw+jxNE8LJaG7D9go8WLLgxsFzXiPEuJPW/bHjui
qVdgVPdOzobBrZJgLrPMODdMdCYp/djoqHJ1EH5Ii+icRdlty7RrGOxKW3/5jFzUym7+08fJprWr
y840DCcrceTxtm4va82yMyGqyJGljJ0gRpcEvi3Mw4umMb8VMScuHpIr1CLsNIJ9GnhmOjIauFPp
9EkzHTh+mq5U1N9BmuOytmTqqrChXpZytYwlbpyuCS2v61XnNJIxp4TbM01yl2lqLfoeIMRFelMb
wUPS+X8hVX/JTRAPHOWNx+LyQrZ43cW2PdcxDdxGq2CBa7zEkjpFbJbzJtLEYQNOnUQ3V5q3n2vo
w/SYYd6KjnFHpSxbccuCOysUOXWcNG5eqYs6QmcJbzK3Mf1FhFRxI0XVO1ESIcfohFd1sK+ab8eO
1UjPD4n9Jfbr1JqrrLvKSPWoTLbKaus/iZ9aK5liJyqHrx1uSqdW3Rk8dLIICaqdFA9eYrPrMAIp
I5ThkLJ1Y2Eop1H4zCjss74tvIjIyDFkewca6TIhmrq+TL5WXJyxjF7jIF8aZrEM2tADTN0uwfCz
tQ65lK6W9Tct2W1StNW8Uf2qSs1wXrPENcz4zk99A3RB7Sa0vwir5C4Vhodl+CGJg3loZ2esTjKv
TuWHRFZuTezSyXzNnLQfznyOL2XicqQ7RwviUoI2fp31Dugxo19qTjS/lWmcuIGd3SNZlvNnk+C7
zbKjdB8VKA0ZhN/PTv75478+qBT+Pp/Z+99fbo9e/u9Py43abhWpxzdtv+fnXf8993dri/w8BHhk
4byc3/yK+fPbi6/bRr9aORYsg9+ZRRCLHZ2m/GxrPFP9sIswbBKwPQ0WwRlyFuyvBwP+tIugd3Gb
NoZNvDic6Lw9eeqHXQQWE97GPtD2GGc4ng5Mph92EYGOJxgQLBkOdfZwVPBb7CK8ZxYJ6LmAsiEb
CropHIwG/vavZlE1UJUXdd1dZy0V86b1w9xRNGKxG7O2ubMNqz+PuiaL5wjF1ZdKmc3H2NRdAXMs
Kz7/8vYOWGnbgtJdIw02nITAAJQjmtvDVLflEL9yY2Z9Houwbq5JkeFrsGZArdRM2aHbNZUSTtOa
9RfW5IYE0cSrwi2iMgapNmhmuhAqyp5EVaEbGCOsPZIk+ONgGRwve9vyN7g3cLf4PccEaiT3OIaN
QMABAmMVdoJAI44lCwHbvrqmnRUEnt0NyccGCuTpomK9spym70B+S+ZzZ2D2VofGiC7TpuyxVzaq
ego7rbErjdzyNBxc3jhVGqLGYaUFSz5QUXgb1+I81SLUHuQwxCcdFhdx0lrdXGrDvpJl2KTL3z/V
Pgyw0QGCs1fg4EM48/L5oX+xlVlvBK2RJ/o6q3zxSQUcE8eMCUyNPKu727YrxUPu4+Q/v//a7Vz7
1USHNi+w0RmFyBD0+xG6ZeuXr7VQF5i5DrLrjA/4GsdhfZ3p0pXcDz/9/ptg+ex9k4B8PQO/FNrL
+Gie5ZnZD0UZqmueI3NdtKpMln7Fe+LEeThHRb21/VDPlRtRq03/16TZTordB4WJAlFrE7JKsIHI
+OuhuUKGQZbKa1bE1jqNamsdJ1serCHVc7tUyukRQL9sQU0Q0JyKbapE6FUrevOys2mJXNpGKnYj
lqUfaZkT6oW87ze50YCpaAwpcy2hzPLMovZQO79/e9sdQcf8s63YgAAdnGgMofddoJBdW5ll+cYV
rv10LcsKLAtsxBWYG7Tvs+C8DWX8NeAiv+yGIlzYyuykS3DDvlVgFim3DwPmmipqNrKk7Kmx8pCd
/55J09oDGaxDmETbmljYFdNiUJnz63SySy5RGVb0KjKL3Bfcq0Q4LLuqo2JRNXXtll2B7pq0t2on
DEPmljhbalLmYN7nxI2TIr3PEyvtHJa0wec2StWq11Xl5FaRf7R1zD2/yHy3VlEkHVnRqHX8SGfX
bW7om8IY6DwIsABLYfCz1CVNmJ5ZdpXckyi4DfqMdk5Ss+K68osPFUkN6tkNgRcpewKywayHwUEt
jy6T0OJffFSb56ENOn4Iuka4LQpNsN6SXq4MXvap0/Z88HBrGd4QdY+5LqqHGhksBGu6YgtfF/XK
9An5UIS4jZc+M7B0hjD2v0LFadk4MiuMv+qUpV6ea7ICQzpf4UIkT7LJwRrPaRo/SOF3zGkKMzgv
/bJ2e3gPS2wScVO0aTc327JYYAxW1TyBQ17A/GsDXrgNCf15qmnp1bm4CX0jQB7GqjoDVUNaN0Pg
GPGKJf/pUhRekFLkDxatrGUtIoMstJ0Oa26rcq5RFw2LJubBwug6tCY6ab/pIM8tdyAV2G5ZQJpg
0VWRgsXRtvM+aGq+KJUfeklF07MMbnVAAZUKXnTaMCfSUWS4zG+Zw5TVDY5ZJb5LKyNLl6UdzwOz
7tFdS7HpSV2ixIlgJlULWrVCLzvKuks7HobEv6vbokpTp5dJn5VPIdifZPiiW6NjaeiIEkS5eiR9
GlXgRNdVXefouoqrNO7OhSyGZSPqyl+lpZS5E5FEPSBm0FXUU1q7NWDggx+GRAdwpZx7me+DPqyS
uC3mdtwGyC2TCvs3YYFsps7inoHd2XeJqC5tXVGYUa2vsG7dGnThwjbCyL9pYOnYgVvwnMOEo7FO
F1kiS+EkBSgvf9410nYNH/ZcAB/QR5kJZwaB6+CCx976izZhSTrXPlgFC4ippIPLBwskZkZis3bT
sDQSp9F9oG+1NNJ0rgLJvxl1wyTykCLVUpq85teW4Qf+eUZZxazIzTpdDP2Zhk1ZynCeQ+Qjnfu6
GYqFKHUmF31ip/0Z0jrNXYv0iXRZZ/XJspSFNFyAlXw28nTAHuxfH6ce/EPGDbgHhoZXnmWfozQV
6YqWokrmcVjZ90NdUbqIDEXwRdiG4Fw5LCRhtfTLJs8eQBnT8ygYCAQwcuBgrsCZG+Ycd4NwedTn
7VXKe5jaBiyV0vMxrs9LalmJF/g0ACc3awBOyTTYJ9kQ0WGTxLDluseBgdSjfRoWK4ykeRZIFtsu
RGMK6kklfW+ofYgIGW2Zi9vIbyPTpbKIBifNo8G4QH5iLnDuBxawK1g+x304qBW44m0wj4UZts72
PgcLKTKYPgEt3K6VxuBUnTT+KiFN2xuOhHVErvGQyUE6vDEN+qFPWlJf27nolZeJorqy6gxUUqBZ
DAQipfC2fBni7MuAkyw8LyC21S10aw3yAldB9cGMiLW2OvBhHI5h8i7qrGN0ru1BAvM1jlIvoUWs
Xd76c4hmFF+StgXLIgqi5kFbdvs1L0N61rA28Oc8thBxMu7DOFaiom6RlQ2+Hrqcmne6svAHXBlw
R2sbmrsV7lk3b0gaybOyI6RdZSzQ5EYaTHzKULGdnFFU6CVLdKhvu96suIuKFrAJ2wwYUxqE7gVo
MPGJcgSzOwUpWXrQm96pVaWFT26jso7je8IzYa46M2rrq6qrtsZn2He3VmzY3Vy1KXw1BOwG8KRJ
Wg1LFLPtw29Zb0E+AV95iq9NK4OnqAsLXlUYq3hwRdzA0smTIJZ3WclgyZc1WAUBXAOZSqosvCmw
2ZeZQ/MQAdxt2dVXqRHmEKlBddEtOtiojs77piBboQGLyYUnAgHSCby1k6ss/eTD2YrnvJGSOzyE
KInb9YG9bjMKbHRl1N/TqkP6IgAzN7pQeRZHDxy0xVJnCF8XIii+QA2kXTihGUpyrngg6gs/VEHj
9SUrWjBwe7rMCbxWF7Gif4yT2Lrtao3UWYH6Jv7c2mmgIYxmpN/6QWxliCyS0AM/gNO5JH2oF7md
is/GNuCatnlQOMwEMdeXbXgvVaUvRBpHEI0jJQlA7MHZ3k4TEvGpjIwmmCckg2UyGD4VKzNTuNik
IJD7c6j9gLXRbiX2PLIMeKNdMzRzUDJtcYFLcKNdXyRVA5qWNghM7yL6qxSN+GD0YKafD6Iq8VOl
s15DfACzZiVbAkN1KQ4H12wDO1jlAEvrGrGwF4Nqmuqq61nyEDW6cDjTZ2baQRByaG0AJ0ZYD8s8
iZW6yuzOvDQqZKp5WGRpcxH0bR663NJp+AEsEf2ERAZiBEQnxAHjULfaEW3DC9ACffGQBAWW/8Fq
oLxxBrDA+o95RQ0Bg2m/nIfMiINzw8/br2GAjMZNmLbjlRQI33Xa8IdlWRdazuVQwySVpIrobRcn
g3UNAbgkcYq8QfaViUOzc3uwbvS8DXNAreWZDJxyYCnIDq2TOUTWutJrEsLL5cALmP2x2QXM6yGG
q10/13bxubV6/CEKS5hroOnEJ5jrqb7NRIZBwJJcRAuehnbrdPUXwuuWb8OUDftokaxovdYKKvPK
9CEEdF/4WpSg3GFGz3NJAU1wHPruUtIqVpeszEN6SzqU2Cu/UwKeq+uM4Coujbz1Uu2DzABrrK6u
EogFgRsp4mChQx6HXtshtOoLE9Z9D8kK6Zh+yK6erdK/O0ZyJR9LpdW3ahwk+TVG8q//zyMpP6up
/psw2jr8r2eZLpV+92/YkTXZ6F+jMC8Jqufm0++5Jtg/FTpSIY2zte8pMmHUHzEVqPeBPho4M/Ql
04SBie8xFWpCxpkSqAQSkJhGz5GY/8ZUYAMZDBtUWHAIJYc2qrfEVA54RwjSTbCJ8/b0Urbt9vjV
74hgwfM2E9F1nc4Hi4GCWJr/K1ICZcj7Phjk7QjsfgPnGnNqjZzlAiKOiTVY0XWlIpl4iiPIeoiy
564PqZ15RMFzVqACLlnAwQ7Iw8hNBv8CFml0j/LwLpF8SaxQXrYI1R7ChuViXidOgiVyURCuWpKu
6ia8ko04y2t8iYb2DrTkVTGoi66kN7IMzlEU907aBJCtQIVYsD4JHb+2ehAm4gl3YIuAHQYXqxh8
naT+Jq2udHRmQ6C29GshHB/oO2YIB8Ikvn3egue69NuOeZUBMfRIkBAEwqAKB1QzGLrE/ATCnYEa
t+hf4DJpx4BQwlKiOLTnYV3kyVz1RfxZKdx7PY9RfxaI3I9WmGYV6ArKr+1e992S1XHkdDYPQ6ei
OeWfBlJAZqAgYFAag20tsWrBdXVzaMljhVtbadX7Duos44YXxLiC8XNPS8ilGV19oYxsyZUpPbv2
S0eEJPFKxuUZTcz4vO4Km9/C92n6l9UHTF+QXjXKC3p6ryDM092GOMohJdWLC1Ha7LwJ6uDLttXg
c8Mgj8KTfngwq6w2V1zFVulCnLEdznjY+JB8aLX4qBSnjp2ZkN6pkemRvAvdpI5btwiCftUQq7kW
dc3mFbzzywyCZWsdBhdd3wTw2jlxRAFOJEnxHNKw0gmSpr0fmvo8gozYXCgs7oPewk4VhdLjvQgX
Kk+R28WmBzFxjxXyM0+t5hKgazy7kMO8rDLiaWIjp0s6eQ4BiHDOqn5YVlWC3Uz45rUOG9KAW6OX
Nm3OWjNjXtgRfRfkEZ5zI72SWXLVgNm9AGVxZyprxcM68nw7OYMMcOwFFN1q0T5UoI4/Bk3HvykE
Ye8o9uy2s78pWXtWqr3YL/AHZNSLwK4WBlHxXBjpIuYasmvg+Wg7f9K6gqYS2EM46j8VkeGVtDkX
XboAAQLGx7A0O3TV88ajojrDFrkcytALyuYrsuqrIjUWSYvntCzAXusfs3pwAvUIvjr2WjuhS8h+
ARNW88Wy5ddksM05hA30eQWeMRj4wyUkYlc0IFc2JJHbOv4C0SiIAtLEyzib+429CAg/q9HwpfP1
PEh9iAWhwqF+kDsYrLJVZEFwERwAD7Lft/CM91ZdZ14nh8CTpa9ds0HyKjTt2A19clclmb4CV/Ui
IB1M5govk6JDTuxDjo6n/YWARYQUc4govY7zS57TS7NTn42hcmOLPdQkuMuK/JLBzw0Rl2nd3IVC
nicknxM/khDu6BzSx5BdCdvcrSGO5QYluo6N+C8V47/yOD2HXT8vVMLPoxrfDS32wGbzVJJcWWbk
FknRXwyMnUF8NwQTtX8sYnZWC8sTZQ7Jw66DDGR7ztXQr4ohy84rrp7S3meOEWaJ1weQG7E6Gi8L
kS99jY37oTeK/xG8w9vq/nH0axu9g8IljuAqH8n3sMep7u1EXqsiJvMmEZC1baBMIE2b5LJKaeux
xl8EKkzhqOhhg/NC3xVFjD7wgSeO6rr7uowuUed7sWCfUVcti9D+BtZ2ALEXyMoEkY8cu0cLNcCc
TnzpKt/SbhtxiFAUDfEYr84apb6WbKhdGelPhIXFvMEVdTGKIQebuW3h6m6F85g5lZ8tcVQuidnc
JkQtdcqe+iR9qFl0Dp7mxaCT86ImlyxXl1wTyD634AHqXp6RLvy/7J1bc524Fq1/kbrERSBegXW3
vZbtJI79QiWOIyRAgABx+fVnkN7pTpx0Ul3nvJyqrtqV2tVJTLhJc475jQFLOiuTICP1NgfGIBgN
0452d/48OEmTB0eaR3ivPUGvst7pMVab3ippfegsQ4tnwT37ctFJGwRzMsni2jbLTd6pQzGyHRt7
mUqADJkuonjgRsbVKu70asNEc4X6EDK4RhNXjid4QPbY10yMf+WCfa3b1sqcC1XeATsRsdW2TANN
ZOI1NM6MuUivs2m1RDo2Rr31gXrEYpIfIhqeoGjJeMIDys2yRdv9qWjpzmkqFvvOo6rmtPKCBGji
fsQ65HX1pzoKr2gLUV5E5FPmBEuMJicOBgzairJyDqRZ17L+SobBe5eWW4pmJ+akeJwr10lUNxcb
Pxdnb2FOqnMXhWWj+B7N6vCu9rzxJGVrrks0j4dvqqfLn4Lyt9DL69nECrxgTsRD5FNjYrR+8+e7
QmQxUOotZOZskKmnjgaEy6+PsAq9fwvZ+JFeiFQBDyYYQF6IWXwlsUJb1oxHQtyUAWTO4CwHuZfN
nRkBuZgykeBqIrX59TERCfabo67n/c2cYGiKvvE9Qq7prO+Z63oxROd77IrvhY/aA0CCSnrOHoLM
O9hBF4mFKIi3YqwT6so60WZ5X5PwSvYggdBpbctodD7y3A/Tiqq3Aa/GVBTzKSz9xyCDSueUXjDg
adL1ZlhCveENATnUWJ6Eep4PA2SOj7VW/dZfKjSyUj6XeFY3EOTyFCvwnPY8oIkdovvBL5cd1sO3
g7DuoRLeJZ/7TyqM9tiU3nTGbIO1x3MZOAuak42iqFDKUevdvAw0aavAT83I8jiU052b61RLaZPW
E0HMovmEh/5z22Fk0DXyYHyCabX/ZlrUg0+LI+trE2NcJmKZeWWieqnxELNDsaiTi6m2njM39UpK
scEUWGXpg6Uz/rCqrjnYIm3Gjc0WPMF0U/QCYqDXpLWqeNwsCmxGmV03LU8EC/dOHUATFNN9HigU
cA15M/RFE3teD/Iq7HekkVXsDPWHQLTXhla3bVMlBnJK3DlHyyyJLfMwS+dYER3nrZ7z/ZRNU2rN
cNME2CNVww7G+C+8pQNm72BnmL8TjX8VjmXym8ftd8/4Woh/87SNPkoMd8HTpq70RdyQbXtq3427
5cD2wRXH1pM8u2PMjs41sJjTrw++onE/ecFCD59uc90Qs+DvD+40OdcF98l1k7JYX7lJsx2m2DmR
h3BLN/TtmSRXD3ajuth+wC/lzXxF46PcZjceEJrf/Gu+3/j+fNs9ivISZDbaKPZq1jnTsfIdR+U3
Ob00Xgnh6cHY/a/P+Ps168djvJrMLaYaSJ6XOTbXF2H20Xz765//03OAZSAMOSRufFDp+wtaTcFC
KCTjm5pc2gjvA0PN+ecK9f+6yf//r31fnRb/3L5/sS/92Lh/sWf8r3EHJMqxVawsqB/9iTV8bdwR
AbluUvgfvhjvhh4ejK+NewSPzxoqB6MeBEbPx299bdyjNRcDPwu/OPjmML618ZUG+d/++CtI1Am+
f/oAiUJV4JgwAE3nyMNaP93x7bsOhS90p4FHZ7cyaD+ZszQ749VC33oEO/eG5VCQniIs7rceSLfg
WFmpk8VGV4GKroyOiqSpio8FCM25xRDE7cV29v06xwCtnLDGectBT167GWx0W/Dx86pBJaHhH6LB
3RHAQqKTqWDtjgIi4oCJsHjuCeAiZkCvhaq+Emq8LVb+KOgNGpFgjw/y7qlCB+kBVQLDBnEf8BKo
2xt3oal0MRkbV75pQDM8r8STJs5HBQRqai1WUR6+B8J1QK3w3ACW4hFk1RXDCx4jo9J+ZaoaVr9A
WEiLlbZSK3dVrAQW1sTtpKjGZNPZt4C07EprjSu3VXjEbJqV5YIUg7PVhKZdvTxUgL4w28e0cuXA
zEqEuUDDch+8pTeIrVmpMceIcKMAknEAZUVX2LRdGTMHsFkF6GxQ6j7X9RkKq4xJlbFttRJqIHIP
48qsRRJ1mUMqltLRtyDKwLY1K+U2YBaFui66agDAVaw4dKKF/u+qT3NleUxXWg7Twne89J3YE/MH
7Q4jEF3nc++SowPUbuznK7Wyd9lK4dkvPN5K5tUrozevtN4EbG8BvlcRPb7H/Tz17GmpIKLKLrFl
CexLHWmQ3Y8rB2hGiAKYhUZtfkVcNI8bLdftGdprnQex0xdRezNhQz2UHfaAhNl8Jzk3U1yJNrp2
Q5Ifw6K2OxdDhAOuS0M3PpXNLs94dJ+BgIuScnYmHbf1Euwtm/1dY5hfpuUwiZ0z13mJCtug9oc4
88DrgO/JUtD3X1aB/5bD9bsB/7wc/vVpyx+XxC8fHPi6JLqQJcGAcATwBSjU8TP/WhL9P7DbYsaE
l5VijI76/Ssfhk+EAV8BaOYFMKhj1fx7SeR/4JO+SIkC1eKyf7McsuBV9cEgY660PAeJxtZvo7wq
78OyF7xyBTk7pEyGXjoJ9ZeXbIQqVbAyiAePbqFAbM0sqnKHJ8/cRaYit25oCdjqsNbhnRARSsQI
A8F06BzzkHEZzs+gsvo4yLMqdl08lQrLR9y5fMG4ETx2hxCdHRZqg7HUyIFsSAz3GhJtwcu/101B
n0VbVknrTs22zsMS2gmwDCtsEPc1/qwXtj7YUdc8Abd3YleUPF1yy46jDo9KGYDrnjlgMUehPJDd
4A4fq8mlQBsMqu1Iu3HpWshQ8zV8CFFchWyTR7694ZquwzwlNhHcazszz3k86wYGggK1KwZiwF+i
YsOFu8RuZprNAjHA7afuAizEi2ECKB8tZ/O94zxIIORxR4ob2Yo8xbJ0q5Ye4z3XuZ6pqmM+yvMo
m+dOjtuAow4HnNBjVMvGTcgn9NzhKI86JCxmnpwOxdzRTcdab1VWzRjzida4ZlD3cFvI2W9hAGAi
ghRbe0kv/WPrdywubD3dLlyFO90BP50sPddNnu+jgogkQ6GEpX5Z5JYQDJyAVeiyAAQx1nuTYelY
3FBHm2nyedrxkBjIPvmCBVg32T1b1yH7ZUnCg60PmN7aXdXV8pgFhF9Lf8Qq3UfZdRHgL+trpx2y
W2fIH0G7sDjXwQdh0JGPXeluQPc8Fhgxb7K++UwjrOI9EVdlloMNV/O5hOaR5HP1OV9YilaoP8+V
PycVEpcS3/AiiTTGtMQGB2Pb8Oiyxkmsmu/B+OI2VdXOz/FLZHjiTGzgsT+PbrSy3yP+Ab07ZJgS
2dH1r4EpkePshYlTe6V3YayDhcKgR6JdPDEvcTHrTxtV9leA+Gk64EE723oMtqZl7Snw6zoldb2r
DRo0iDnDzsvLp9JC7KaTk8xk6o7jVHlxaYWzZX7GbwrMQUkVfXJJhwqjuq2H4W1GvOuuCdHLu6S5
mQGjH8ABKwiPy56wEb6GnpVvqMowROcvPZlOsoTo4YdXc15HmxBYWTvNm6BeQFbwM5/1Fauqp8WS
E3PkVZVzkciBZdeaN12KSSAG+bm4x5RbHNq8PBhl90WLm8TBbDXjSkID44/dgn8Qw4g3MJDnyQJk
nDTqa9LbCmRmmzhBeYh6tuHwI1aGxyMUwaTmnzFow9JSbTFO3DaYSVNA45A96V3TjWneqENo/VM0
TsnooPDIe/S+41S+5SU9u/7wNrAUrgU4Z4JzBh/4MePL56Z17tgyHMKBpx74kwDIV0Lz6cQIiDlr
P+SBt4MtZNMJCKmK8UtX6Dteu58i0EVxVXov8P3c+QRmgaptrud22ZLCTxrcY4g2MvGhdEGdSuxC
Gwh01fMyz2+AzqKpLdQBdpTLUk/nihdxqMQ6htzD/pJgIS2SktHbSk83czsnLnRMnQ0pAK44X8hu
GYp9CKEAoMc+6KYtwWATK5F8DjiIcNLsCTb0Ig83c1OfdUP5RtN65/Qu1JZBXNy+TKUV+4nytKrJ
lbUzqBn5AeIeqNMpAbDx2fXdJDMOjEo0yfryxZQvdTbcTRiOKE73M4VtZNTvWQuZDzYoJEHDq2YS
kGNnKECAYoKtbzGAF9OdP0VvSrW4aVSWXVyPdFf5JokwSY9Xih0Dsi2PMOhHr4UVbot6OMGcNQ34
FMWiyw+eM++nxbynTn9cGL8PguY9z7s7YefbofoEFPilpRSTjMmJAUxuZdBsu2xOC+Fvcjonwstv
gQpd19a7c7Pqs0P62DUUzFwYN5TuSWT3vCNbmmMQz+orMCNvDf6lYRZ1ccCaTUbsqaPDFq/iTRfx
reN1Ry+bccB2IxpcsEl3ad1mOsa34Z7HoX6PH+Vvpwz2nc6HJ0LlbRpi7D/r8UOnu0Rzcir7+rCQ
EGMooHfWFNucYJPIm6xNonwu4iEId25vH6pBP/UtyK4mPACH3jS5nyV1b/aaswOd4NJaWATd1r4f
DX2ojbqribPL/GkrswHXLtoIWF3CnuHpDHfQTG51XZ4aaK2WDPelDPd8ys7Z2m/41dFmznVeQyfR
g9wCirg0GT3gBYubkd8qE115zvTYBNDQDQQVfFLlbWaC2850Z92xOxSLFEhPdz8wltoGnjADplSz
8qpk4lhChInHUlybdaFaathXemB8bNeAZBj6EQjtmHTjWvToU9bot6aZj45bn4jr52eS0eyjADl3
33XADEDyHQ0UqGUcEwvvGCHqE0w2b1VfhQcXgnEchf2jj3GU6xepqoE8SedTUMEn07fvC5MfqOuc
sd7KDTXFzhm7E/gkvJcliPaFOo8565pt5BVvKtODcJiKXeE5F1VwBXiqiXU9elsMdfcZmKzRJRXg
iBo+FpOEYkRrMrtrF4Q+UF8mEexUNh0nPX9qCGZvnfrQGxY32P/wBnTABW24GQaxMTnRCUGFUPTA
42DlSCd4pizhn6xl207SnbDhVtJpo+sG60+nJojVy3aq9Gnuxcn07E3N0HaYHn0OkJJeFgnJR3LU
ro9nvcR7uqBRqQ8l6a8XMj52pnmGoI5RQhclWTldgy4ySUWx/X1T0v5EYn4lp3ypED3HDcCLr+rU
a0mohwHQDFKTM632UhVxXdyRvPiNyrzq1N+ozP87CD7UBYcCSls3+L4rB0NIA+Y75Dzxj2bcjcPj
VH8WXlrZ/DdH+lnBC6ntryO9UszrrJ6dJcORXH6T+6uJy9ksy6EO3qnhSdbBb7TFn149vE2Y4EM4
g9/h+xNzeT3wrKzFxZKnfji14lmXz7++QT87I1TLKJZxmBU3//4QWRBONJqb/AJLpxp3wzxvyhyD
FrGTi4rd/ubXh/vJGcGxgqYFyVn+6h34/nBWB507015e4LuNpdfGg9g1xW/O6XuVZg0MwN3+5iDr
73+jyHYZ6VmQ4SDKwJRqrlSUp/93p7Ge5jdHsP3SWwOT9sU01wEmRUX9Jgvlbw7ySlj+4TRe3Zqm
mIvGVp28TAQSCEsieYFMgAXukWHk1p3dofvNEX92dxBSSJEVHWBk81r8LCSvpIZX8hK2ty0V4A0P
Yfb53186D85SfAYEt8h5PR3NmEcCbo266C7fVAE42DoZy7e/PsjPLh2+MRIxZCJ7Iaw339+feszD
UMpJ4f486uAqR6eosBhE2b0aTr5tgTz/Rjden6lXaxCWuL+P+OpmYaaEGbQzqwudMJ3oHjwUUL8+
px9cFaCW8J0jMAQAmNbMsVeLT1f78FxPTnVRV+bQH7B5XtcJ27Db/I4leiO3PCHbXx/zZw/Et2f1
6pC5pdXUN1ZdbIChk5AY/WNRqPe/PsrPr52PS4KdE9/VfHW3gsUJwh6TtUvWRnCBnDjvf3Pt1qv/
+u74MKQA6oog7b9+sOFYkM7cEXUJ0frO3EW1+SR9EQulfnMuP7ti3x7p1QKHjhhiXxioi8Necn7L
svt2+c3y9vNDQHyGMwlv0hro/e3iI53Ccn8RxUXrM8O0Z5Ju7A7Bb7a6n71CeNj+OsqrW18Ym8Oc
jqPI4rkkGK6TjfG3rACg2l9IsSvZb+7RD6flAtQLKT4qgq0In1N+NT1yoyyEIlyXl97uWvOEIIN2
ufuXD9qrQ0BL+/bKaStwQfO2vIyLhgQs0lmx31y2H57lL4f48oUjFDzQ2b4/hJqmipTotC5d+UyW
QzDK3xzgh0cZB+A+rKIoaTC5/+Jq+mbrwdIZjo5eqgvqvGpgSa4OEuK+jl6+XKv/VFkHJdAvVNkP
n5Ak+aMku/6tvyy7CNsHNYAiw4Xsia+4fyPJ4gtXyHL2ceO/ppx8nVKF62c08LFJHzzEn77cv6ZU
wR9hgM+Ec8Si4GOFyBD+N7IsPor23WqHKRVfP8AE3dcFbgPr8KsFglCsdW7vCCgeFZhLOI96ZJvE
5WxuvL58aAoSN1MfpYucj2E2VztdCfAlwx5Bti8+sW0yRniwvLFL6rA8gZLO4iVS1xr7QeoQcrtC
BVBSOfDuqnxHo3XiIaNo40OPdIYGYyE+3PQDHF6OfQxK9N6q2DDw4zE8409BVKYEhNs78CZ0r4EY
iWrM4LNiFmKoU2+HAeNXVPUIlXAfhzLUaSt90Hue36UjCdBi99lnO3YvXskCqIw02PBaNQlQwPu6
yG8noT8sdHxH1hlbFAiboDtaNgVhRwbDcjoEOa4A2u24C+uPnKnnPDQ3FSzasRlxioPpEBrROBdS
eqlC51o3y0nV0u6UQRhBJ90LU9jpV4eelGWfjLyfkhICyC7wG4vtf3zOOtUlpTNIUPm83C45m9OS
qjcQXS5yWPLYoz080l4ZXo1VdN9VGfgw57bTo9mq0q9SEi2nvIyOeT+dmjqnCWxbHUReexAOMmJE
HTZxwJGoUQ+wbRHZ8TTK6fK2gzVvH9Vs2Ax9qBIB4P+IzkJto2L6ROw8HwUCWRKqqUi7SvGdN3IC
P5V3FbTOofV5s52HLLudia7jvO2jLfRLGsONAVmGwPalB53f1gGBTkkQdRGCtGqfZtosu04gjaNs
chCUAtVw0/hbTI9a+ArtvA90tu1Fu2zCUIcx4K1n2C2rBJZfEZfErzalBsExVdlTGY6HQKCylkUz
I2nHm1OXy62SekopfBkycxCNgE7i6LrtHejEPA1dO6VqYnggh5Dd0M739gaOukQMy/NgqBc33QCG
jPjougsdJUNWh2hIXZsuM78OKz9K+RS8mMbWGxM5cLsjysbr8SgDPJxSYWW5bQTgaYcE9zr3nmxY
qEQC9IshbZf7vpsgX4nxnsxZd4Dl5xkdsYa3MgviQmie0sHiMY7CC9xyE6JcSn+PEeRjpNyPkKd3
Idr/jTt116QiDa4zb2N/1BhKtIgKglgdjiEkN91FwS2dl94/OgvAb1BkDFjltPo7vfGlnPOHCeOU
LbRWJAUhtCWG7Wk7e713CcfqcdQQbDFfceKs64e4ZfM7iBQ98L3RbGD+wkwhKtK67uekKGrM+wY0
0yUcWhKSTmYkZqzQWk6mRQHd8lzFM9Nvljo7m6C5GqaoS5EH9Fn27b3r5Qft8pPl9BZRN6dlyXcu
6M6c5NdUQf+oZ6Ts+CWY5cr4dxSpJqmDn7ttJ5R/HtBkEIuHOhQuLIz4h0di343+iRL6OYBbtcM0
A0uTv6mzaj7WZP7griRS6/QMkk0/xnK2wVEu/ZZPYsoG2KD7/kGL1tbIZGn8JcmJqe+9cejegbcc
gc+6DdKOaGcN8ms4exJFzY59BxPKpRSl4Ie+Jf5TJgI3u1aQWnZVVPTpEGUPcL8EGzYhYMnJkNST
4XnZ+3VhN6NaymTEc7dhDchUPIWPgz/slwJTJbDs+zxA/k0I5+Z+lELHUZ3d8mU5T3pAUlKFcBgi
qksZCLBgDla4qpFYngqMOwahPgsT3poAxikyIncF6ef7EqkwSGgK7wAif6pm+65lUPDxFiPAxrxb
oiEHG7xcIl+ehmJmSdPQD86EdbzW41mN1Z0zOmXS91m3b0si8axlZ2QRuMncY4pBBDQnLUanOOga
NGPn6Q9hbZEz5EI4CgN5JQv10eUjVoPp4xS6W93OTbxwBk0SRmRA4xC7SfGGTlcacHtV7DmskHrZ
AQncEcvPwmFya2f1OfDy41L1oD49RMGUcuOAKoodrmEbtq0Xh9V4Xy3elOYZVj8k0Iit9hrkF819
BXus3PT1tGDaXu1g1nKSaqzH2A3aO6lYhGyf8Cpr2kvdUZm044iekBN4nt0bP3cq6NZky4zpEoyk
3hVBfamr9oYEmU5qGjwobp/VGMB2P5WnsZkQ+jL1kCyXB9YiQ6eR55nVMHL3wbHJsjweVLOFmQpC
Kn8C5yB3Hq1FEpDaiYfKudKe9BIGFFTPUOjAT4dR4cWO678ENjLbccFi6/H+pCrEWVQwgeIPTlsT
mKPfYwYzSAhp0oSHKAixPnswRNkFfgN5j4kDRH3ooS3+G5AEW5N3hYdbTcFamKHusdzYbeWIFxVF
ezbWh5rgd7OGf+6t+tR0zqly891/9SRdk/FWEumf68k/v7Jg9AfzSer6x7py/dt/1ZVrFAxGJuv3
MT2G3uvvuhKOJuQYA9dFJAUcJRRt5de6kuF3wNkiwABFZICm4+9Rv/cH7EXge9FUe/6XQvXf0E8r
hfBNF43yx0FVyxB5j7oXnBV91T5FcLc0gADyGwJzcMps1W/4MnuHwKKdtgae5bhve2huwUzCMEE8
C6vibGw79XZWhdpEC6ZxN+BJ/BQ2AQFrAZ5cezuNvJ4/DMi/Wa0TU7tgHjWVVrkwvYCLwJsOjjiD
xSd02uVAaWREt+sbUub3vMdib1ifKVBLIeq3RSzqTVWX9q3fC+UmJSw+97kDXSt2lcq3DRxAC5za
3X7O4Zss2RC+0w5GIvGsevuuqSI+xR5rljnxNXzMCelanRRYXy5eYZtHD7lcj4Q1SIyDbxbeeFtm
55A6gsclV/J66VrM4qpsqUTCZZAlUe0etKBVUnlquEbgQnUTBtreIRAsx7tYuH4iYQXfDyRjyVC2
/MnV1QTDbx/VCwZEQ4B4CS5ZmCjMKO6IA3dDsvSV3GMpW54rF7EQufDnTiczbZlxt/BDqCaLfW8A
9MOt1++YwQ3pUjkR+9hLAEubwmZ24yvM0/UG6mi2BJvFhee1iefRW5ZoHyHTxcEc0YhdSPsFox6r
nrxId7dR2IWoUBGbgoguH0FlY3MTeV0zXmqCq3nRRFi6ETD1YtXP6qE95C5iQM5cuuqxKDv3zRQN
5YDcvdViNWoqyz394r4ifHVitY5R07EKQQC8BCMXL9Fq6IIXP9uWMofTS66mr261f1XEhGnBZfc+
95zGIFKDREmw9H923P91wqvQ9s8r1/q1px/Xq/XvfF2vQGtCpI5AZEYOIlwZFqW/0CT3D98FgARJ
BwoV/u/f6xUMmO4qXTB0ug6UeghLX2lN/gfkWhpwGAYQmATU8t/0wVgdX61XX1hNtNv4viUsDjBb
fq/F9LAZaNgZp3PTY+Dc8D4NM7NGqeSJcuc+XRxdv5HWKc9uX1X3Hcx5ezTPw37AjCdxIK0JVGU9
qnXvxgt9ukEyA5zOoXrxsJIlPRrPU97ajwi9aN7Uc91tiracLvA7oBetdJhEaDPe+GAaMTWF0UZH
qcUjfAadBwUafv87R4R6N6CT3wiMYNPOcd4ioqLcl6U37FQEtzzDMHfmb0Q7mC1SBVxEk6DOKJFt
mfhB9ERoMO6jkb/Tiyvftv5YX+furLc9Cj7YzfWUOLgEZ+nwDAkAfbRv65qdxeiCw0DexX5sQhRF
woOFU+PFESJ8X+NdXh0oJYbB1dXQIoIyIo8jc2DxQwgoWkuVsLw5InBmU4SCblxhj7BPn2zN3+Fq
Xtd11sA9VoN4CoYq1kX+xKz/YQoQUVKP9YOAAdMwXWKmLZCII+R972Ma6pUkiD3thEkgxL5YbLsn
QfXiCZBEE1DawMAZ0y8a0ajovrc9YWKbZyOyVtnyiButEPLR3Ncku/HL+SNfYK/MygZn4n3K5u5C
Om2vCtCRmJIudNOO/MZDxkC8ZMsNq3FL+2ZK23m8FJX30fXMwzIWz/DGm7jO82NRTucABAf8RWA7
nJXoIaN7AKjM0GhN0CVEhFhLCNdu5QPOCK7qqeKbOvSymDn5YyOWW6TOnlSLsT+ZkL+BcBQ0pFmN
7FaOaMazB6rL+4j8BDYfwh4CBLydJ5LBMYLcISPSkpkuzkP2QrpiKwfuQ8Cct182xixS7Jra8mgV
erSQaWj0qC/hzYGrxVoVZ9TBzspQgc4M+FnrcCygi3tnGAOkwo1OfFE8t27jx9gW542s5mFTqwhO
JazRCLHBRZZddiAzYiMEA5gz4gVPKJ5UTzR3pUZnbiViLzjQCbj46BudZ12Myh9WD7S7hiH6COm+
VepmY7L4FBzbnL3Ms7uXBDxDwdgb02fY+nSfhAVA5jC6AX9WHkZA2HE1opMNYdgHCOOfw36u44mb
HuZbGWwn499bZCUAV2FXVGIYF+k5SijEHlMO8giK9YR2G9JGLXGXeiCv3vsOeThkFKix0R/7o9z1
LbDdJKrMDm4sNOCwTPK2/JiXbMvrBq86XpOmCWFfBArV5N1xCsfmUJCQp6V0nDP8jF6awZpwp8Dr
HbUPtgez2xvbIhpSRcHGnRE1UMKGFnu2QjfdTLezA8BibpsCUSnI4BxcN9vTtvc3HKOe3SyyKKWk
7Q5Nq08ip8B6xOAdu0Asx1Y5ZOfXLd3UbYMQPrQLSzEfCRXvG1J5F1dJAFFKFwci/QhZvc2RgLIQ
E5JTAtU8tuCOPne6WiWjwb8NlXpZgBciUCXyevPf/un8Wfn/cv9cK/9UvoifbKJfPgj1P77XCf6g
3IFbeN0tVyb3700URT+L4I/zMLbimMZCgv5a9HvYeVGDQ1GmoNbW8Ou/NtE1/xGbHiKzMdX/0kX8
m6J/7Ue+K/rhtECKAvewwaGkxXzm+01UomrucuRjXcNMiI0TsTDI8kmGgBXHSqL4Q6asXUJjY8Qd
u2jKNdzoQ52lItfiyhtU+KHIVykNCwdtn1RYOs5ldDpwLMrODSRQq6NzVffLUXhDKQ9tP7tvQB0T
dnA6apAsFJH+XGVedizmgEIlKwrl3MswKv0Tyv2ye460CMZr44Fdv0UC8M4GunzJbCvTWssBZDLi
pNSOKu5so5ZLe9e3c3/wEcxKYihTyMTO6Dw8LT5c/3HY5vTkQtmBztWqKNF6zDf5BELRtKbfwCUh
T6xHzF6WIdob73YWfRg6nUfw3mbjsgt9eNsKnQ+XHHFHMB4+hYV4VkjS3iAor0qagL00ffUSwDkP
Jrlq/U/AlhLEMyRuKxAAtFC27QsyYAIG1551KVJhxwJ2Wh7BNtnLnj84RDZpVIzZ8yQDu4cY4x5y
ksElgOjufeGYEMmBw3RYmqbd+czWibHY3au1HmC8geXOwIkeWWhZedekAcKO4CrMUt5XJz4gZZxl
JryeGVsOhY/IBqQ1lLEf5btQthWStN0C6zdXCP0aEIoFu33Doxfu52TH7bJHzPTZUzLYzdnYx6Sr
kEWcGT8Gv/XeB8aWFiMSYNCu7mrEJyF9a0r63Iw3hTf1wDDzKYlKNqUG37PeKHhnz1QUxT2ELu8O
yRD6RVHfHKtWIrPLgiiEOxYwoFV/mtn+q/rX4fc/V/33H/4Pe2eyXMeRbdlfKXvjCln0zaAG70bE
7XAb9CA5CQMJMPo+PLqvr+VQiaKkzCzT+CknaZY0JEACcD++z95rf8NfC/3/Xx1bfORPsz+zCPKC
w4jD5v4nrUKGuEhiWb/9CR/127FF9sBAw4Czwn99DPg/ji0Xoi0vCVq2XIMnBYmFv3FskY3407GF
GoLuwVfHE4Tnx5/XpEY2Vj0m2+k6F67qmyJttsaYZGGTjTi/52GLtR5s+WyZ42fIjTdNP3s7W3Ud
fo35hYug0wVR5WrkE+yQGaWEocxEb6spiLVhfbUifYWaMQDibntM0zjImyJ6MIRin7nl8f2PRrtt
5rG9IKuEWZw8D8kUTiqoutRzjxDhj2anfc/n5XlKyqNj5te26AJH0/deirbuZbAB05IMbVZo8Qad
pQhm1ex9qFrJhrHoPXPMJ/BmX/JReZ9G6TVllwfLbUGprcu3tkQSz1XlMqijCLQO0vOUTxXkb/vr
kuCOxAGk+YUzcgqR3QjEUj8nZX2n2zHm746TcAE51ophDONuJ+JznB4we9+3vX0m3Pa+FhANq1tb
g5tkdPmlkmyrOXsp0WgjPfqWVNbjaDEyq9n3BXArUX79DhTlwo6GAXyM+6daYeRYBK5FUSQFa72C
1YhntAGCxUMZD1ZAisHc966a+UaRdKFa8Y5aawT8MtVWv48yL1QGWaww8GRITABcirETQsnuLa3Q
gxla4iZbzAxqJttFq8Yb37V5SvRkGv3c1ZrjqnT3NdubjanU6o5R/mCpWgrmY4DgLzJrLyI6Hp4r
Ghjis96v5UvWWwBpCpzf/PONqz8b9oQSnE4hYffvgHj3czJek6HLfaPsB+c8RBDivnQYTd/KonaU
wNMKb5+aWrS1eltDP2Ja6+WLLZZvt0a+4kr5nnN52HWEW/Y8cb/k8s1nydffJN+BSsOLUOdp6FXT
wSix00Jv2RXy9YjC86QI3pNCnYxwjtZqN8rXZmmW7cbp9era8xRt5ZuUQPh5TpaaAHbq+I3pQLSV
b1gogH0IZqvh5Tl+7eVL18n10Sev/d5oHNGruahhyqZMceUTWeWxXCqW5jveIPadfEnrnV08tHZb
kHFwqsdcvriZ2BN/NHkt8xgfBpv7V8hnZ2rtZ7tiZI6UDD+wqHlqLteJ/IevGN3slznJBCvVp5sB
FhwLD1hAw6K+zlHjt8n07C74rY1KpZ8AQkwQm95C3YCpHFCEpi95Nk0wFtsoSN2h2s1NnX/LDavf
F2JqN2vrHvMpgfK+Di5sGm8lQr+ioJF56iTdMzolseGe3XGhlsLxWIUqLORqruAMTjPPancOBh10
iuKuZJO0HGQKtNDwH/38Y4pWscj8+/vov4smrd7/qkPJj/rtLqLpDYcsmXMGYuy/Uhz/oUMRhOMO
4D+IVCSKEcd/v4s8kJQGETbe5fDNuaZ+0qHk3eZQ3ep5pJH/HkL9L6BhC2MH6pMBfZevk6T+H0do
dnVTlhlucVW09nOcIlmvoviqLdah0HgLZgyMfSdCh0tGxei9GvHJW9rL5ILGiqayPZRy7BKx4neO
0LexpW7V2niY0lEPXQdNZoyJ9Q9RwGoJpKg2PKcuiddCK06JRaxiVLp9kfevpT3HG3T2t0gnbspD
MeYxP9/M7vjGfNn6kocVqIYR2stobbSlWkNVKLCqSsYxoHu8zQWHFL/5tj/U1bKt6uVWZ0wMSNDd
CCJOG7B7nxjj5gAa4hs7syMetiZoZ1a+8djn+IqNjZXIdIDj3a6e9gIxgpeAi4MkSZRpUziI6pmd
pf4aN/qG5R470ggG0rBdnDratPAIN/o0P69JfB6c6qaJmpuEvxMbZbSPUtfvpzQPII6VYV7p50jT
H6OlGLYjhJgNQiG+lZ4bDw8MQS5cAqWxcNu7zYtrdQrXO2/smFO2TeMHcjPNFyCgz8tqcvC4/bUx
hn5XaGSoMhxqcwzpsWIV3JBqMoVVs7JHmhAGGCYStuck1p+NliFDpNMV24od5rlYA91a43D1CFvE
nYeDohb3hpK8WUVU7wCOojvmIJDs12F+bbxlazb2a78Y9Y4F8o7mEOICBM/qZ09LqodCLZr8PY3X
t2lO7lc8JaEjGhBNJB1c95XY8SXi5/ugQkfbz4NeX/Uu8q4m8YPjwuFqeiKkM8beD92SbdSEpWjC
2XkxspXwdFqXEz4/52WqYBalZXI25vodfCOB8jr2YFoBSFs3/5xzH+eczD78+3Pu8T15Lf+F70x+
1G/nHIM1FQyI5wAIWPTJ0ocf55zxiyrPP2nkl3AExuH/d85RoWVa4ArwhLmwzuEB/n7Oeb/QuMU+
8aNSgXf+35q5MSP/eeYmPsBukM8F1xAC5p/OuarAFVfwZVxHL8n7gOasJ86qfSYLbgRNN9rA4Gbh
QdpEhOUZVLVNzR4s1GjIGSwCNQ2ck22cLY+uUrc7kZVo0BpNTLVdhhldO/FH68760cBj27VQAoNe
nt5dzXvo2ROZPZvL2lzsQwYi0G51w2+csTtD2hekW/VkOzvaVywO39VIDPtmqi7dRzeQXSO4prO4
Jw1/58gCIYgzFKHklAqpBZJzh/ixIfnbbWJBDGjxGmK/fFXunG+zWCh7TVYVZbK0yKW9SKvARAT9
SDR0qMhD2n2E2VgWHg0GL4VcliBFOineWRYjDbIiydEKbdPw6de0IEDFTpHPwpG28lraUNHSBp4x
nQsnumZ1QqhI53eWcQ6U3utQGMRHY1T3euDgHiPCYADB8C/cjIoKtMA2pFcJJX9NoLp3omO0axO/
S+woVF3lqVn7B6/r9qCD3YPVrreQBxa2rt6L0Trf6q6+tPgTSBAlRyzWt+xbH+MRlXmaoLrm3veu
4YgR3tlCRQhQVWy2DqYDw7b+lE3F0a7Sz3M29P7iKd/n2JWxL2+bFuMXC9tqUzmQrkEG+1k1kECz
+WehsgpeRRInpzQlrpdz6iMO17fukj3nqgMfoqQDoagouVCQRcKyrgD79v2LPfafXXv2a1OvwzxO
2evGjJxN0YLS8vJtqRYW4rGN902dH2tZC0WU2/DTkaOThS8TbqFApTPFbdPzwFG5usNuFd/MZvg0
JvlbGVfmNjK0tybKs20yJ8Ox4ryPFBo94soZt/ZsRP7ack7n/LjuhAoyUY3MsuNibq2gMY0DMU1v
R3KeRw0eq8NMynXJ7MDM+69GIy0pEOdDLetznIr9d1xbRKBVnnb87jc+2OVimxKjJh3vwSL2PJ8H
a7EhRQpQpE5WUOMtr6WBEPsykhyzPaof5qsxRnvdqm6TubrauctknMLVPZRlEE1nj//P3hweGlqH
fHtxWILYL45X0lGGhXIysiWIsnmXaxgH2/S9r4ZPTpGoQT2jFmO99MLe8eCJsrWGA1lt67w567rY
9Ur51MfikLcx5Lum3Gt67wNyvtWLcW+KiUfmJBFsM2nYQl+PoLU/J316sewG9hRJzQMLk5PulZd0
oHZBMUi4wxj16zxfN7bNqzVmuY9TSkvhW6QnXaQnrWw+FxoFNO7Ui42tRU+mY73g6QTakps7UBhe
MNP+xhLLtAJSPKSGYweLkxh2MX13OEYp1FOW8n6yo5c14utrG9FvVkAk68DHwTJgM0iYtsnyQ7R2
7y207lBfWTa1HlcjQWvi5nBRPP5Z/XFIXvTIuBsm2SaXikV2XJlBPoJmASz3HbbDjZnin6JhAtuD
jHdXbaCW6efVNh4j+aTvMCtC6C6UDcrnPYLxZy3KcMca1Z2uzNNGW4lJe2I3rMqyaWGih7TC3XWJ
2EWV/jgmPcshBdxC4x5pg2k3kVPeFS0cSCdVjgnhm9QaKorN5qO9uDzMiwUWvG7JlyB1atWUhwWY
x2BVk/NaTUR32VoFSld8j9foESMHY58mJcE0aXZzkr11DSvGWqvwG01rYDq67leoQjdTrKz7AYMp
bkYUjXa9WwxjCpURASD34ofZSEOhK3uPmc7zypHZpzvCV0y4BRLaCFA0cKvaZJ3t2tpi/ftUdiqm
UvW17ed0N+uJgB0/Xtg6PgE1Pa0OYJ0KR5g5mltJZWBDeQOEYp/1ESWK/BD502qnG8tUd4ujfVu1
5mzFnNmzxwycJSFehPcBV8cwt6/rHIdOym9nvzACG9rn2q2CKGfPM4Orj3KVsC2nKYOqKecjQBCc
3A0ctsINrLwqgKk7j43AImJa7/nAQZkaNgiGwqHTAMlmWNOzZkwgLXrv2nlrvNPN6bng5xbCKwKG
M3U8nXWFPVp311njiHlmrXcMrK/cnV1YpwkteDzlQyZ4++q6igswyNJ3Xd99SnPtwaqQwuvVe9JI
yGZ5AkKec2HTw0pg7G4whc7adtXdr0bkzruOlRJf39cua2sw+/VbH62YqTNtBPBmrBdwlFYgnXTc
eefJ5M8Ak98MHowconFgFpU69ErxBh+IZbDTvhlJdc0yD9y3EuX+gPasNbbYmKzatl7tjTh/BpN+
FBDD/Ja1zOTWJXHIrjY8EClTq7e1iPdUisCK5ZxE7d5MSvWw1FhLUyX7kjvNN2tyfEPCGqIo3zFH
8D2IxgdNAh3wrDpoPc6hGRKu4sokas9o5CMjLVjytP4q3/0xEfhc4iJA/F1nJ6LQD5KEaqQlhpzm
u6tU9EBCm5gIW4dKC/8hhkSRSyRFEyufVAmp6KBVcJrTCXA2AfIkqWkp7IgTlylcAnugmUp6T5eq
oHzYFo68sj4QP//M0R9zNK/x/zBHs3Wjm9YvXv9ViEN+6E/DtM7iTebNWGt9NMv+GKZ16sd1xmEi
HhJD9pNo4PxiuozfMmLhkEqTGbzfRAP7FzZ1hg6ETP0Ax/2tYdrUmPP/sHezXMRmMDEmnSB8NvlF
/JxVoh9HK4rO4sXmdsUGSAyLtol07jxXQHHmWDtMUb6lB/BQlRVWOa9KPpeeI4ljcBWGHe6ei4P7
ikIDSFycTGYJuiBz6hPh//qKU+B5Uc1PdDCpAXcqqqyCq37JH+2OEROJmzdynKMkZw6BCoNXerdK
gFQBqrIOXGtSwfqrlzVJx4BfnRGoVFKAAXYrym+HhF8sL1yzDhBxvASay5M3qknnq1a9F7RyBlgb
LvPSSDbnmvm211sQnhEOxlF9AlUbONkSTvrQ08rE7yq6e7exOuubzd8Thhr/v60H/ESMCLwq/SVA
+7NvVJq44RLhVhcl5lj88Ie1MqND0WSgsKkgqgGN7dBOihvLUqYTdSUgxtnHw4HJnhBZmALoyvG7
OLuiTftWRiHbtJrbwRaPFMnY+AnbJ9uJryBEJniVE/zjtN0abSRY6VciqJSCeltTheYgle68FWcQ
Q1xvS00IZFQkX+toVfpzmY33XsZdQ4GLBc5A2ztGi6M+T99GzTjH1XpZdRAighwBRuLuUzEofiRq
sclTzPaJmxHs1z2eKPh8VhZndR7lm77OiDrQ0wA3mUfQYN/lEXgJkjxwhpAdWrN0t5NS4/XATKOr
/UXnAjZbwhxqeSrL9KoV4sYwVmAAZn/TUn7FJ+1v29Rm8sr5p1FHrCGmh85ZxX6fiV3bGmfHSvIt
hkWFYzajYkirgrxRdrRu3OZz3Z9XlsZ891KaiF37Xrf1s8fbIOyWcfbNklNYzxGIjJqumcIc+jBj
xodqGgFg6bELzsl2zKpzbEZflhZoScHVFveGHViD+my2bJV5pgRaAWOtHWjQSeM7nOonbS4DyrAu
be+9daS04QH0/Bv29iFuyUBAcT8Nor+mdd8qdzVJp/WdWiQQK8zEXt4851FMO9UKBCRdzXMlMFFk
g/e5ztX7were3GZhJUz/8Roz+dtB009Hb1C2napDsE4uaV0f54yOPCKNmH3yoO2ZyIpIkG6JrO+r
rQi4LJNhYoGPHPbn1bg+6PZ6jtuu32kFXCd08Znp2+bzQmYrut3krH0IOWQ/rcZtZ33uFVZDpfCe
Kk/bFBkoCF1SkgfrMCV08jbrrVj1fTSmGE0sccdhR8JpCNAYGq5U8rxRG90a/XDCkAyrHrN5LdJ7
Bw8WC7CHtZnx8naC9PkMxkfvyMSYQPt2XqwZQL2KdGvk9q6I03hPZkCyuhI8TwtPLEXwk1M1Gr5c
DO2UDpe37qx8cszqe92pb6Wr575ZF88rJgFLw/Y+t40ZWEaCSb0D2O1kzVcXT+zJy2kYmOHXL6p6
W9aMx1SiaVdalTHhUbKirtO7wMzEa3y+N6alORjV+EWry21rqp+W1Dm7BZBhKL4BCC+amcze3M0i
fqmwobKJZt3iLrsxqgO16W69tLhRyUqtfTP6VhtdCI7AoLbzPXKnd8SU8OSKKOAzj77hmY/4G/Vd
YtV9sLZaEzZzNoetop9nfg1undq7t5Z+Pxdm6lfFWOJhIqkriWMpbeIbyxkC/q5IBHlvku5vXxPM
QP6wDPPGLmhNcaFYeN9SMh39YNzn/JtwD2hwgqpiMxTuLTtE6DWEA6Ixh/MROd1mXCfcAmO2S9rW
AfRY0JwwKG90QQB7ytvAkkAWK6a/loHdFul4YypaFfINXfaWPt/PcNJ5QOEWq1P2Ry5RshloL6yQ
mHfqzPCG4da4SfCrsLNzvqj9mh44juGRmAxD4GeUhPhPGu3sden8OLEFySINs0Hcf6MhMsVQDRjN
cvA2t+057q2On5oGcsx8MtU+Y92D8IPMYuXNZaoBEDTadI2H+V5lsqW5Z9liUL+pW2+vULH8mKyL
2E5Cf889NlC949yViZOFa7Eav8aT/6f7AUwC8f9pnvrvAjfA21+EyV8/7KdZCiKBbE4h4wgGAV/U
T7MUFSyuyaODuYjgwA9h0nB+waKENRdjkWaqtvyj32YpxiyL+cux4ZNDb8U+/DfMANpfhUmH3Y8N
KdHBdUBYgjHw51mKEFjrCQoimHqG5ugWnnnuqvnGrYrWt0T3bHPit5SQ7KuPWyD5uBFAoeDOW7Hm
aHNx5yUoEkO+3A2xeaz7st62BasIXg9YWXLceMhZJmbTZBvnI+UoLSjruIlwvUzUefve2FJV4TSF
eFji5jPZ0xoeukOFBK1rmd/ovXkcZ2U9WkBWk8hf3CVFM82DRY+U/aB0nATVSg2sGu0WjSkg0XKP
IvGYzAKZ4xudM+rsGhV9i+lDI4ykCd2SioBGc9Ng7MCrOqNHk4IBtKsoJDDA9pjo0B5yB1dTG2u+
NejD1pqbCw9uMqxG7bE0WeeNEg0zDUjVtO+m/qL1EIOGqv3cTfFp0SaJ2kLy08+qGd9M60BfSoYt
KqV+irWO6xOxY8XAdxgPEAMmnyz+Hk21/YWpjxYEwHfkpCgk9UF7aXuvE/dJbjy4YGPFoSGnO9yl
WtXurRayETUIe0KLffVgD6RANsnHvWk4kbkzNA49hAnrO1TT6QCFQXCMcOmuZXW7cAvbZnOsuJVb
bmeXW7rmtlbAj9Tc3kQ8MCkgTafN21Tp9ym3/D+PsY/HmPEfDw9pgTy/Du//ykvEB/44Pmizhvhg
szIwabS2+aOfjg9L1zg2HA+20x9yT+TpMRJJ9KgN8OcPdU3OL5qKUUale8Cjtenv1TX91Ukk1xku
dbyQkh39z6mnXkyiLe1luqr1bQdbbsmc4KcT9fZXDsn/wix/S/XM0P+f/+Lv99NTT/KKyG1RYy/p
0rBqTPY6Px9P9oTlWThCXHszO6bOs6JePeuuxzwd3SJn9Vr4nz8fANj/z2eUX9G313ugS3x52v/W
sU+nOEU4EBtB7JetLXNCX+sl/om6v5u62j2Og9Vc7NyKNr29tbOlDdtojqxwoC8WP1Nlf2Ge0g/E
NWVRD9Ob1tfGxnCTk8VgV8kJr2HUG5X8u8foJ5EVtZwFnRo1K4s75kM5KRpyZuzk9FjKOdJkoOzl
ZGlR2LuNm7TeRctc+amcQB05i2KQ7DAYpTgCXR9B7d4dxxv2XjVa23hSGGh5vjEEs9TdIGcH5sLw
aE93UVSQNlCMPeVPtyPjMTusQ6XKhD6Dc80ALQzlqZMT9Vh9GRmwZwbtUU7cGmtfyiB2JgpqImfy
xK6nrdIwpxP1PtfCWR+cjyOp+zieanlS2RxZmTy72o9jbG1M/gdRdnN9LWLzNFDwfqnKlSRZP6xB
KYz2a666JxsrK3H4U+OkhznH1upFF0XNL8tqv2Absjcy5UTckwEc8iO98m8sLKxwsszz3JhHOhxZ
yTSnIZpCIZbDYqS3KkVVVdQG6byccIedmObqYFgpaYqt6aYf1RcQkCEYct4S1fpkFdgEUFdBz4rq
tsqHnXBxZ675Ua3pi5lpWCBWCkinnXns9yN+F5MmqD5zntphgbSEDX2rl404CDENvHj0/s5N2+VU
LMi2vavfFOWbp0xXM3Hve9ER7sVgzP6/22pNeYyK9BYg+MM0VttE4dtSzwyvKbuOcnhzEoyrmp3d
6fEUeqLkIpy1gMs/MIF2DwLBV47u9mTupm7cqrhNB9ullpFdRV0/oAbcllEL4GKmL5GO3PF+XpJ7
O9IO3SQC6m4/mXnlz47VPTaqYvjIJN8rTANl5CE9V9iF0QRN1fSB8LyrU3xTCRv8uEYkxvEOVLYQ
2UXFtrEyEAe/RRw5m3R10OS5m1UrhGXhizm66XsQucT3+3UIrF65MKQF+qRAQ7fvFjcewGmQMDFM
LkjPeDYJJOv8hvhtXmFksoplTz8OpNWC10saC8y4yjHv10eSOxgPi+GSkm7PIFlk2ciPNS45Jngd
hnz2mjnuuW4Lys0yajinHox91E8Yy6LR3f9z6f2qQHJA//tN/sPwShimwPTNDQcDblh+7zeUR/uP
W0+lm4Bzn+38b7ndH7eehszI/hzi10cOmEX6764lFV+SjruftQlXH3/0+9CsyZSvB0jL9hzd/lsl
hQQG/nBHcBshQKKCss0nkgyW6U+3kuIqRt7NRX0V7LLWM3FcygQZ5DM9HIayuMULPg7gKq2LxRoA
ReqbGeNw7fTykUhdze9ceWr17jO/9ceir+7TMqW1T683RhadXcs6E6DP/cqZdrExxgHMFTht08ua
Ve8fiP561PtJLrHvrHjdAgHIgOAW/DQneSD3+aw4s/PA9UVNH449Y6y0r7rCDzZomWI7xaOrHVTH
6NKjnttDzPJSgYKpYn/lcmiMzOYyUFkzE6g7OKlT7lrHO9oFZoJHIxp4lkfllInA8+LEPHVZ2n/O
pqgKxGiU+nYUIwPjILIbh7pCqhM9dt9Mt9Sre73bZfucXfAath2hh7CEtseOZZq/CiIUsFCrF4dg
H673CcO81+1AO7w2EaEJZ2rnu8wtpi0eyHMaoSPqPWuRJkmhYVH7lbCZqqPxSVejZ6VbD4Oj3I9O
6VfjdDCXKhiV4TRP1tUbbRTdxqYEV79f+vSVfQwlWY6CRUCchVPh2wcYDKK52cA7uR+FcrA1PeSa
uLhx850AHH7Oaa+lw5FW3n0ctSdeIJdSny+i7r6qS3/vJcVez+ynnOVNQqtPBHHITsZ+0xbNQ9Gs
JAPSoGjU3WT1993gBsY8HQhCvJSOvSFW+uq5/bGgKJlti6GTQ/5eaXVoFvYFMEc41S737QpLuz9H
aX8Lb+Nz16+BhDY3bF8qJ7msdQmfeiEQyEKKeamfdWJ79XmEeMwm98L30m+yaeslySWL6ktveDer
YW3FMBwzK9txk32hSmnrpsMZb9fXuAbzKr/1seM94s7GNKHtsBOctLEfNsJTL0KnO73NLp2t3xEW
9Fm5PlmJcSgy+R0WdUD67dCTr3Pxd3lR++7h2B6r4gUY8FOtJvdDomyjxjoZprvVRXlRMyJh9qKd
JnP+OvJFEF/TgrzSTtHIPtxBjE6GU+xoIH7mG1xeBx6f7LaX7r1z9PvRm++7JfeIUY7WHdfWLrWn
5GJHJvENvbx2MIcOZV7wykr1mpT0BgLQxprbK8jU06TxIyXoqy6kMtpKjbRBLF0QTUEMB2ZpnBzE
1FmqqnPDQ7IonMBAcB0oQ1Q6FNimiXaz1GQVI/qydsV5kmqtW4pH0imhoRiYN6Siq0ttV/tQeaXe
qySYeptRqUI90c7kBO9NqQ4z91ARJxXjMaPbHAm5h4QEf7DGmpIraEdOtgURcx4QnpFnfQshmopL
EfLTwXdL14eNJ+VqpjK/QsDWpZKdLD0TR3o1o/xkIHWzZQU82V4aqYFPbfmtkao4FU5cwejkmVTM
U6Rzq3APtdTSO6mqV1Jfj6TSrmQCHAhaop4QsMyQ48u0QJdHoC/1+tMgFftFavdKuV4EYv6MqG9L
dV9xEWObCgeKdPhjDLq3WQUMYMkJs+5dRRRbCqkbnxjjma3VshnlJgGgHKFGuV3Q5Z4B6H+7zcRy
quUOwjbSKx11T6MtbJ/szGNsW/y8Y/OpWGCMbn6N5EYjkbsNgyWHJ7cdBAyIK8kNyCp3IYlFAeQ/
d//H3a+iUv37u9+voZ2zfqz74S+SGc88PvbH7U923jDpxvM0jZYpF0nqx+1Pdt7ET2WqHi/ij83k
77c/jGOdNyKG4o+44M+3P45Ay2LU5dX7gQH5G5IZ684/3/7sNmkWkRWBfAVUMv3xheiVDt2IYMOv
xZjqCFJdW6tHUOvmsVrrDJO+XQL1iCH0zMrJrXh1ZBZ9jBOb74Ql20Ybssc5Hm5yd34Ygf4sEbsA
CiHJPE/0VK7pevTS4Xkql4tTGgcLuBGhkhquFDbbGSdKw8/zjPc5XXm2lX0PspV6isjx8CYYxneD
KZnxVSo3ab74FH3rYZcr2PldcyuyzPXNQiUq3iefFxuvQF+YS0g1URmoXfNo2gLrgVB08owxZoVV
9ReyaiZhB7+ropfC07D000nZ9X1gpdNXm2RgFrUQgjTnW5vRSTDa6Se7nUHFO/bBmNHIW8x/Sq1/
smNz5zpcXRGs8MQlwmj05V634eJjQOGSQm1czBFD2Dh/XeroaznMiAsYcyzuuBScHss3uOP5TKlt
XG21GZtdNxIk5mZ+i1VcS7NWfWoI4uORo7gIL+O7LfNIcLFe08aKboRFmqPjAsDaRHxJ5pj03ukC
s47YzFqmsyHy4u2mKb/RrHb87HrgWzZc7AP8ppFwh4NpJnJqjiNDpZOANANVyCo8BBIOQmYdFpl6
yGX+wZVJiEhmIgaZjmCOS0LsGlSwq2lEA0Gf3qRqXezw6Q0P2HLWZ+J/SVCrRbTJ+0I9L3aJ6X3K
8891N+oIINRkjn1Z3ved1t4mtp4eXK2bTyx8edsuRX0E59RhdjHN7BRhj4tCpeZV262sV3jVRl9n
l1g5pfBKC4VMvcPxpYUJEe0ndeEffhfBw/uicGN/N91ChKVUJ6eBvSZ4AH8p6e7spYZJHoSfmy69
0ZA3qSfmX32CGxCfeuRPVeqgSisunVRGI6mRwrIhzSh1U/ah7POQUk2pqbY8tLMPlRW5NYps/J9S
ga2kFgvpCcqbmWtBLZVaR2q29Yd8i8Dh/KrnouzWUuPNpdpLWY57sGvum0RqwYqLKtwjD89SJ6YY
gmJelON/DvNfD3OSIv/hMH8tXkdgoP/iHScjJj9OciImZEs4q03YJR8n5Y+TXP0F5v1vKuTHY+33
k9wiuU1uEn+JfAb+4R1HiIXTnyyL7cnNyN9ZfgAX/fNJTp6Sm4TPpNIRxYn+x5O8itHHitGtr6pa
xPsmjnYJfEEsxdONcMYFhV7vT7Og+ddQV2PnzeK2yjBqG1X5tcNGG8DagS6XWKFnINrFk21sMjOh
9DzhPZWBwQiSwcWX1tproFBQc9vG3ktiMXlxqBj+rK43bmScOsvcuzVlzZZCw8zS0PQU1zhl3fPa
LWwGYObtRTEc4zKD9WRax9WlmCE2nTNhU4zk/EYOqXvnoZYGVZfeDWr3ile+8l0rfh5LNtpTikuw
mtnNQkI725XzMkd573MJf/KK+sWe0QlzJm2neFSs8jy4wCK6KXmqOsZgRSthkU43Dmbyqsq2Wqx8
1snl0QG3HdTWIaLTIMrVn5ANL5jMeI1a826cAavyQ4EH2+031UzwU3GGMLUhfLI2KkhGzvZmidqF
/WslwnEcEVwyBvNp5giIUSNl4e88ictUjGIT4wTZcQ1sM7u9n/MRXQk3ha/o660R2d/0oXnMxbKd
XA3iY0zJhGlvF4qkU53JOXL6W1s4T0kbxWFjLp/slBVVOlkNsVJpeKtw0Rnp0geV7uyGbr3r5srZ
or4dZ614T1b5sBj0Jzvh6cPDMfLt2rtmo6NfisjZz2780MLJO9gYF9TJvbEXBgHdVbepMxJ+adMw
HVYeUMYw7jrhfkpszjrRyrqsOt0Rdao2eVl/yx27DrKBwAmAum3hOsGixuEyLHuwjRmZn+xr1xnv
qCDvU63G+7g1L7HN/nmkjm9RR7IAS2E+G1auBiowbwJCVGBX7ZF39qGwtLMlkm3nxvkWEwXX0Ix1
So/tZed+RGMqSwzhNCp3aTO9eWs+dT5lVJmvdu1upfWKlVx7NJVW91uz2Xs2kmJNezkmSGAfkH/3
uhJXwE/n1xwHAFdbwGUVqnLfx48uP0feS21gKU/aYXxAGmyJScYzqBzBPjFKaIdahQZKCIirYRX3
HtoHVEmU8xRmpmfz7us1ovqUKxZxxu+FwxXlZo2Gy6jWN8xq6hYubcEjYRU3i17dRUryzYgn826I
ynsIKSqKCPVlTc/fJRkoSlFWEfa4LTaxul7h/9BpVEKkZEl4GznWKSlVNfi/7J3HcuzYuaXf5c5x
A27DdPTtQQLpmUx6N0Hw0MB7j6fvb7N0VOeUqo5aERr0QDOVqshkZgIbv1nrW5WamCsr4QNksN91
2qEtr2PTZDrQOFeOkwf7ySovJzlDHzqELnr5DrSHCfucvOIrrdY2SYy+MinAABauj1HUOpeECP2I
5CJj9pLlRQ+N94E4hmTfluM6Lok4qgMugyEPXucFJoA+16dgIR++MJRbptk7dL8Ky4XoQQnTj7Tn
lsEFwLVdMUd28cUpOcI38BWyM72ri+DTJU8LzAnXHWRdCCnoNc1pqVdKhc10COviQtEncdKK/E7B
EXE5DTP7D0C5a9tdAn9CogUbliizsFHB347DiYweB2EBbofMjW+jhqtZmKjvmgyBsBnwjU8BRM90
Xq7hHpHKCJh11eb4gqtZuTEoVHyVV2J2RZoPIWOjx1oy2AxzlxAe1Jk7yqppMEEMYWGhfKivc9M4
ZmV7qwbqXSDi0tf0gdwqoa9Bs02EwpVEllMka81T+jV2sr5GUC3DqP63sdTXiCqW06pazq1I4GaE
9Z+a4KsmMCAZ/HVNIDeam+a1eIvbtz/bavLDf68LUJGiOED6IGxL++Iy/r0uMOSCEnnn70au73UB
ogjy7mj9fv+p3+e7+BPlWPbftNVEd8EAmdmjwXRXstN+2AAKYrydJGiW89I91k6wkjbsHz6YP9lq
yt/wc+aCye8gnoCqA1jkF6Hhh1fAQW1VU2Vo53ZSSMHbiIxLV7wP/2IiNG31z69Dk/3jO0GJXQFv
EtpZsPjRGh7v779+I1KI8st3In1vP7yTUOMR1oMYPOuTzUjm3nY/YQ57rnJ2+2GN7sVrh+cKbFx8
1eFR1eIPSJMhgWvldVfchmMFFvNoiXDtkBUWmtd9cjuiR5vgr/36L5WwoF/+pX+Y2RsxYo2xkZ+F
sYZBiXHlsR94OGrmeZRaU0ZY8fxpK/qq5n86Vvzb2Odt+l/hB7DbjDjL4sdNNoS+f/wDNOYQrOTp
Q1nB//xRkciudYNqz2ee5MSBaqQFX6R4tztv/tp/ul/CDoQhh4bWWfTjjZbhnh051b1BykAaKQjR
q14dpLHjMIITaLZZ/qTnxmEMVNy0zPi1+8nIk62RuomzCkgKLRJcWhbPPJ6x+lBvtG72h27eRsuZ
Pn2dh/iDa2XVW8u2mdyrXL8KlmQT9E8t6zw0pm3onEDjw1e2/KHgD4CJiy7bs1k4zEnlpwRsVXXt
W3h4lprOfda8XusvbDVfj9Vurp/aBBqGYrBxLo5aZ14nySmZ8u1Q6OV9LrJVRbe3Lt27zpSrSgH8
iCWriEPTN+Mak6GTQ7NOs+dOIRwsXxpm2kErs+x+O7f/8hv6CqD4/bZkrcO588ONb/7hdhljl2jh
qV3O6tbYBfvlons0ts6+Obcr7aLbgTlaQ5L35o3hHcDsbEp/elb2yHu36tY6gWE//fqa/dk0KsUP
P9++dFY/3lwmycJ2Li/ZMt2X6M1HNkGrekNm3K9f58+uzB+Poz8cePQSSxZFvI5CEsLd9F7LFEvP
BKgY/JOb4A/S/d/e0o83wR86LpdbtjHcWD9HLJBRQPv9hKR8NSJsRrB9Hv/ZW/tHNQehKVQ5MKRd
0MF/TDvChzpRJRr6mdRs5BHfBuXq15/dnx2AP77AHz47mDUgakNdP7eD34sU443XTv8sxe2fvcgf
Tll3wndHNa+zuzou9aGz7pjS/Pp9/Nkj6cf38YfjceZZ3QAz0M8QI7yJUla1EOFfutH028X27xaL
nuK3pmzLz+5/y9/8VlZzQwBG939+/kci6v/2wv5r9/rTPxCuyX75uv9o5puPlu74+8xX/pf/r//y
b1vqOwIz/+e/Xt+J+PLjtmvit47Hyz9ssPn/flkeSfcN9LA//8m/10ZMvwEICyYf+GV+DrXWgcDa
5Fv9juX4vTait3aQnto4YmBz8PV9r40w33C0AXmVhDrtX1R88W3/9BjjNzkqpZmwLBxAuGolr+/H
Q8kNlNIKHac6FxMtszZbDGB1eELZVDzGmLHXeoJspdVB/GSpjWNNdPtaaJ8DNgo87fl4GKUBFxMK
WShqvwtpWgSfB+MANFJl0SebnrCAxE6+jQF57RrACVRHtAlZNxRrOxcOLcvsXrG3uRcN0NJ6NNjb
pcvFnM73YdiV9H+PQWLcYdoozrYWKF7JfBLWhI1FbdLiQ55FjwFcT3Ir3Wu8GwRFoZPWlKbfhDrS
6QINNfuHY1JN80adCgIqpxtWSudJyq4zpb4cpN3drLdCCrMHFNq53dxGUrLdzOWplSLusDO2qepG
XoC+e5ZC7zIMh7Utxd8GKvAwrm8BSmCURh7umg3z1CbeY3p80TRa4XEaL+nKgIssMgdXKs2nfEcS
qeZPaR+B65eYquUm+NKnS6W6LTXrWbyAEkHG7lbxwZW69gSB+4LQPZGK91hq3xGwb0ephq+lLl6R
CnmayZhCl7xixPNMT2BxshrLpK6+Q2CfILQv23dSFz/Ju1/3UocfS0V+pLWvUV+Y8KbYDZvI9hOp
3zekkt+w9BW4cR7+UuVvIfdnxnVD9VNe1bl2qqUjQJXegFi6BJAs6ttF1+9M6SBIB1JHsBRU0luA
c2aXSreBhe1AlSImB39XgCGhLburEYNClwEAwbBQSucCaQmP7JbNbSFdDYH0N7gYHRYMD0QHP+kY
IDCUvEAkqfa5Mdyw4EU4hVmCV57WE/aJwcZHASiMmkWbrxLpsQgwW7jSdTEYzTdN+jC6RtP3xFNY
L5GS2+saAIxYz0VbY7wgDAxxYJMM1WU4KGQ9S+ng9KUitL8UhUZFzSUsB6uMMx4GYaycwN401bST
NO9ZGIDDgubZNcfIQ7yA9q/iJdpoVRF03IxkfPSCj9hhZKnk0XJvVKW2MnXW7kZl3zq1dey0+SOL
6tTXUnFD4Hd4tAiIWfLhUo9GX3OTYp1aTCnJGnxPlsrdd6X9zsOS8YCzsNkZyCwptfa6q0s+4uaE
jdfx7WasDqWNBSpGL1Gn5hpHt8kV7vTM9JielcRXU6iE8ybRgs+sCq6yZu5Zl3fqeYj60rN66gr8
ssdaL9T1olr1jiAaX8E8awfFYUx03L+B/pwwKpE29g5ohaKecP+KD1UN0rtSZfTE0JbhhJZFJN5/
Hcr/7sfT9qO8RP3f/vw4+v/66UT1+IunUwRz9fVPnkz81A9PJsKRgYjhgSJiERHV73tZyVihaQdc
qCKL+gHHamr/DbuQh5J8PCFKluuBvz2ZwK/oqLgs17Hpgflx8a9M88U/lu8mEi/5mLMESwKUyT8/
mXT54tAssiuVc4tJFGACDZ/4YFshEGPlDMKDQxYvOUkxgJdnZ1djOCCnQWv9YXI+8HedXIG6RVrS
C43WY5Y29Tbk5HaMHfuwjYWPPZ+03YiCI88VWe7lPmSW51YAh5AWeGOK1i2eeKw2p7nrPxC3rEeU
SVjJsTDioq8n8w3H/zYEYcL2E50X07Z+l+C9b1z32OLFL3WB2zxZw3djVI5b36JTspE7j9LGPzdm
TPemv2ZMDnRVfYpUopDtgCyfSmIAGi0LPdi5kBDJgRJTN2wcqAGdpAcYRDVHyW0gsQITHs31AGy5
0Ih7bGEPoGZSd7nEEQCN171FIgqUAlgB59vZNbJ3XWIMZp0yNw4xphHodNdkJbd5P/mqxB8UbXJK
JRAhBoS6LoYq86IKDrg9lTPQRIegsfkQSaRCCFsBq6ACrRThmFNeRxK/UDjuQfsCMoju5EJoqPEF
YvC9RuOsrHsJcZgBL6lQHTSJd1CY8U4Rrl8T8kMCAWJuK86lAChEnxm5N8OJWOBFwOrwRwmQiB1k
ugZMCVzFEMfVz7ZdrF2yTKavSwBFBEMaeapx3cOmiBL+/lDiKhYJrrCYuvYWGLFKQi3ytv8ooVwo
beaPYbMifzbGUAYEQ4WGQSJ1y0gbQEZZRE+QKm6AccNecbDKLADsocmn8CgAbHQze59RQjcyg+A5
TYI48rJnGO08CggdtkR1pBLaoULvIDXtAuzCRRO78R62h+MJifowdSAvrsR/AHlEJwQRJDDKS9C7
FzUBGZQsLeMV6CFqUj7XSR1j0UnhpsWNP7EmsiRpZByoHDTgI7WmXunASCoxSmIutF8wJW1R3ffK
sC3bgjj0cmNak0vEHbC0sB3ctWmN+CEl98RRh6dFglAGHTnQtEWTM/uJZKUUFou2mXcFRKVEfg7Y
Yrh1wKt06qFeLrvhFABemVV3HwJi0QCy6IBZMrGcld5yWW8PW12Wjj2xSqiZwYWhqmIwn2VcoDEb
GQVwQ40MvJQcmIK1lweMNcdzjBA5V4fPKJ1SYtQMe61LNbABVGZClIGc7tNOpp6onzrB0wuBRivE
PpJMmuULT6MjFV85BfoKRYF1ISTHpiS+fuNKtk0DjS2UtJtScm/ywXzvRYfSAiQO246nGkTOIlk5
paTmhMZ4NZN+hHyanIS5s7o1xxE7EdEXenOEFtcdOXso25wKl+JUsysoiHwSBQJqpI8wku8HlW38
NkKFt+3NueJeqgttNdlTgxahDydt7RSKCS900A1nZzrazK7CgLF5qRTg629dNde629FtFOPYT315
HIkciJ6axdSHc9pVuzKk+KtYJa1LMzU3cSxIEFOXV60Jb9rAIN8hnQ6mWfSbRmmmraNYR2FPsY9Z
31z1mfVGlEKL6ssihzMxn1LFcrxI0vY1dbEORsnFnBbgQfjPyWET5QtusNcoaXS/cxgWGUv92bkR
PtKoREBfjPpKVQnJajqkcXM6nWbC2qbYTTZYqU9m0VwrQX/MnfIFN+/ngjZ9nNidtJjwMfoK0ueM
6RDN0EvHnIzo6jVOyxsrDsZVpwtyuhhRU+WOt6oOE651L5Rkfs4i/XPRVH5LiHFqyB9IY/Exoenz
lPimaNZB2NykEjigyi0F8XzZMYvsk5pmqu9O5esYLvvIMBpvUiYLDhGxqlyMl5adLj7cBToR0iLB
MOj+aIsFA0J/WtQZt8YUeHwK1c4uUPC0pdptDXPgbAcTa7uxvWYlzL0UKHcdFi4RPuoNrG7HTAI/
UuipnNQdeXFEIG7q7shx0LwF0K9vjHHojQ4Wi3yq0OOW4wWxH/rKcQagH5p9jsfihG8VTG4VnN2C
iXTeUpt1r5Y7zmt9SG9nOh8qSBnlBvIDBEB/H/Qkbfdj8QhT4ZAoKX9jvzz1tRtBiLVMrgFUMdDa
4TOW3Ufruvcc0Bu1YvSZR92KtdfOSMr7eiDpLLYncI3qnn7uanCqG1eU32IedCsa20tT7Y7ErAQo
Rs1gGyyaXE02+1Ai0+ZuDFe6cNk7p+neFbPDPqvwEkevty0SJS8223Ma91dUIptC71iJa7sqBfNl
9joXYG+yg1TzAdiIZIkRm7hVQv4ttLPSt9JhWyiKtrVw4+w7PlAP6PtZrdpk5djdoS9oBWsLB3Q7
3WdFqa7nkocgRxayVFA1yqgdM5aXqKiorWW4xzHUdNjAKGiUFso7/MF8v+iZAZ0sgGwGMQFNjLE3
zfgq6hMsT2W4QadUrDjkOODEuFuAOa7o1K904OW+oxm5b5XTG5PiR0PUIGztt8U03ib2oVVrPZVp
+AT81fI7I94HefWkorUyzOZ2xHBiJIpn6HPqqVl01JvxFYbTtrf1DzeFO9/H14tm1yu3U28LUx7i
ithw1ke/DQb/U3abzOp+UXaXdJF/VnbzU38vu5n6mDb+N8dB+PiFXPlhWSYMZC2WXCJ9FdA/mCHY
elL1wGKRmBT5Z3wfCIETJ+ab32XK+ZKKT+L7aOxvawyman85NOdp8dNA6Guk68rKn30W6US2ToH/
40AI4TKgTTVRz7ohmmgjHNQtYJb6tyZB1GGmE4VLkO5Yv3BLau5D0BE3H1Dt+ULY37BL3BJb6ELc
0H3E5yqwkPhbr6j7dqgvUiUJ2Xs0pOPWgx9YQ7dJDe1ltKdw2yJJPuZ1va8HdIpLfDY6ZZ9H7gmp
30pr0KDh7oFSMXMC2a2zK2LM76Pi2wZ85dEqvVJZrlKrDzx4EjfsYZ45XRVEJcX1nCraqqyUOyVC
eh1AJVsBktuEgXXMkqcsnl/GEAUlOnmEeIm6amqkNLk45mrN5Aqm9FyW2H4r8xzBx1ipGnEMOAaH
oj86bfBeueMxZoKrU1pem2jEvbAIIEVxIjB+eqbVXWMF014ZJUkwueMvbfMQ6+p7SDcBTMqoQfFl
95OtUGmQYFCCzE5T5zRnYbTWeA+Bmp7ipXptk7LdDEEar0cSIL1Ir8W2EAHjJGrtxkGmylGPi/Ml
tzoYF7Z+MTn1tjPTcuWS0rTCJ7Jx2nBbB+Kc6gBpxLjs+lFDErq4D4nlbvpRnACsb9XOGbzWSa6L
HAfYUEwXTrtcjODJ12NQPcWRMCB0ofOu3fShbme072n3JJbxCCS+WXVt/lk6zQlBWHgRpUyvIjPy
i85aU/12ntbpuzbA1tzW4Z2eNXsV14fH6eviwOirNYFx70Vo34bBvO3TcQJ6mB/mUv/yLX5MZnVc
rAKjZvfI/4eTnTGdOTjwOID9rqKku6JvyS7cKb8jnEhLgXnZnKjcT35kBETo9u1nrtU7lIpba+DB
wOIt3PAfnrS+XldlTxGQQh0blPZWG5ptItJnc9ZggZDlVjmCps7GGV6WhPsVOTvOaN7URBWZHTGo
YLjWc4TXBO+S46VLc6rcrEWGEpDnMRtbPSyPqTA3mYu9LwVwZqbjIYm6xIua+bIheQIn37FjzIqG
Prbntz4sm8eo6GT4HZLIlVUW9o1eqQ4LOqfJlWu1cuubdpbnPCmnm85QN6kCdqvXg880nD4C4ape
VNIDo+062MX00FrNty7t61VVltd26G6VKL3WGIWifhEeHb5fTaTwGfYAyV5F9yq6S83ITN5cta5t
RkXGlOzKbjLXUWCOYMLtxUvQBiFOzv2unOCpza+Tpfv1NL04gbNW3fmeLzpaOYmyn2PlAoc7fEIF
GVBJ6pLmhUnmu0qwS/J5kzpFCLkS9qi5HIyqe9TqBtvNHPp6Pm2G3GGmFSf4NWoQIqm+cid7O9In
QF3kC3nommQ7T/0GK6c35P2eTTE61ALtVd76Uew+5UkCP6iJLoYK8TPNjbuZcgBtSwoDpFYv6dve
WmyVKunA82RX65TMZKOaT0Dy92ODkSrXVWr7ceS7FXir2Ie3DeHLw5nZot8m5p0ah5Smc3OxIAHD
f1CsTXKGVypdPKYOdwM5/Vb0wUdtEQeGUWHfEUPotfawIycNJGONV9bISVCGyRNVMdYLxuTkucAs
7k8jMOhJQWKG28UzQ+eZCLUV3s8dg1vmIOrWtfsr2pFHVa/2AaASiz31Ok3QAoLEJB7OKm+M3u28
eGnOporSLEx2UkJexcNlYC13lPurWu+uA70/NDX4vVoMkAJnf1n0jWU1uF20PS3B4LfQSDmFjY0r
uqNaLBunMAfPZZhXV+q3LGh1avL+haBhAoJ1Yew1O7zSyGeowvAamOOF68yIsBcaRWsZDyruDCrZ
yEurMFkTBuvCwxb9lrXVFaFpmzSDp+k6n4a+0BBWfku71TaOQktDduVIes7cVVed7dxPcR95ucB6
NuXCXU+Jnj2lRjD7YTV8Jm1/jCYV5GABOaq8iFwssn0T34AQYm7QfIpwXve9Vl1G07Spk+U+1fRl
JYb0gRN43RbiulFQ8Ieq+6xYzeNU41fKI2ZLfQ6Wr3K8TqP4Qm8fTTKCLjyanWRamfM+qJnUMpGo
Z5md1qYPQ6aMDHWZy2yUpRs9Z3LWmRrvmcrgIhhztNhl9G4ORu/PAzDKttFeXcKTtSY31pQLoR/q
GtFgC9lnRv1pdwPhXl16IuSA4xI/uc+O4bFMdAJ+9RtmYajaSnM1Re0bMHdWNpL1M59biwwdwJ5w
1zWQ5aK4n2blAd/iHQJu5mKF4VfEf+HGGs9DCsbdXBw8xkSBZX3SXzcMMdaCOd3OLFTyBCCNEWWg
kUPyW1bNX9Yn+s+LTfZVKIygI0jvB4xlEll+Lk/aGg/nDMz+rN3mqyexGa5qDySS577e3bSn8hCv
S6/bxRdiO/rRrtxEB/xGyek/Gb//9VvSlzS//nWBu2k+2j/L9pU/9b3A1ci2tOhWKCANOQmmVP17
gYtKXKOmRIT1HWTx+8aTRaeNR8j4qool8ft7gSug5yAPt0FGqLoMDf5XClz7i839kyxEGodcSzBa
RkBAos/PV1Cak9o0dYF9GUztIezqoTh1I7WbR8ZFVZU+QVrLFqJu6+VRHk4PJclxs1+6haR+JtHz
ZLS3eVTPftQW+Mo7wHBj6KdLiO1PLXS2LBkzKzf5RqIyI+FCxGsyaWsSwMUl83gGy5nyXBJDXuTp
49hTd1x3dhXdpmlMviWJNjajXyZ8HC+xcglA24E/MBBnnSvh8wzU84rE7di6ijIGb6JwWvreMVgM
IFdZV/oiyNXizrIVYxNQToyMr7WgO9dKG8UPvZm3hIun42Oqu5Hht2m5w6CXzDueaKcxMQ9jL25E
aEJBJhdcXbK73mT+WUbVmy5F6lbUY+IBFcQdv8b09S0qkmXVKCYoWh3d+fTQg43wjFG5UAbFV3KT
QaUcpZpVpfmcHuySC+LsoWBLVrDj5VaKWlbcpg7Z7Ekl/FmJ39EN3uW9+aGaHCttzocinO7aNmRe
Idro3cjvZ9hQpS+zETJ8GuOdurijX9cUwnnm3NWZpm+YG0JopI2AAKDvIuIWimFo/HyM90ZksFIA
oLUqyBZetWqKPxMIMHODmZJDl4++3FuMiGmdqe/KFBWU7qQjj7ZJ38+DJrlv6rsKYNnpqXuINA7Q
PbfbvHBfw6g8Yls/4sEls8tRKJcW9xbEKk/GqN1MgfIu3GWTqdOeTIfLsLHwqgaNXzXMrvNCWnGC
6rMrFUaw8UhUjJK/jZELMHIunrikmbO4g72zzC7dcHldI7zuVp1TXnYiUVbmwpLO7bCSA6GEGX0T
VApK38wmnmhqQB2LofW43qioyqc+0aFah92h4xvs2n6DJg28sGCRaKl1uYYisc+H+TzV4lFru0u3
i+94YqYe0IaHPIxuqOtjFNX9VgstBcsz89wham5mO7hTR/V6qXtuEQ3bFAClcOXGMYTMJrjqg2U3
Z4GCnUx5a2ol8lkDpttZYE9YNJdiocc6Fop2Sy4XvBVzXg5lZZ8TWqhN6YjRq/rC8PIBmgZRsBdY
B96BPR1ICyXEo41PRD+iXVPtI3gkbau6DJVnGIcaN4APw+K1UatxM7vd2W3Mp0GJVI9bfSBAKcdb
2hufzFUpz6uSkoBMzN7eLVKtZ9vTwgCT5UGX4kwfl2KnmFydQUiQbJvFH9msL0xb7Ccxiltd4xse
yhTyeqPvHTS5PiHfF9GAKNEyUQCouWluxjo5x6HlW0p6k2fDJWQBZTVGPL3HBFJ/7l5Bwas3VgaZ
ZaxGw6+bSbKvrbtRo9VUG/Uz0M0X1cjeUHfIaZvKOqeTdan+YbbKw1e3kuf5Qz52+lp34XKx18A9
nT+Xs3kUSjlT3jlzBJjLNifr2pCzaoQzKuVvVH8DBuKzwqLDVGhrelGfLGXq1ktabrG4fWsM/bmG
F7tzVfJPK9e+WvqhIGAvwkPQWBZv1YA0Hs1vwRy0cAq6W7qZzHMqNdvNKi1xb6cJZ63xUlnmLcwd
UFqRg6WhD1DIEZ3tJ1VVeEWsXg7YGtapMD6GZXb9QlinJNEHH6ahTcdcuOS/mNTTzCtXOYFQq9Ec
35SBO1lrCUBRg1FcxpNAf9LWE3oEHO6GXt+MBYu1mfZzrbFST2MiXg2HRio0Zj8GjOrPSVSdcnvc
z3nwkhdMh3P822tdbtcng6u1apI3yy5syITJshZFsAlNY95ZRVPvy8rcpDhf/Mi2so3joFXlPFy2
RVK/NI7YFI2yDcdgW/ZFdI1sA1p7CQJmbhHPuSQXbyj16ZHEHFxjoYYoXhPwGhoXODOx6+SJs22Z
mDB1dlRGGzP7uL5/B7cOsr/qjANtPs4atu/rdAqLXVSAvVnGnO9mnBWmOyF0toLvNYToshLdQMBW
0KzQ/C2YIYdjmLmHwF2OzD5zJpNVswlSzDS5TL1EmKDY1sXSkvEMrAa62TBfVX10V+jLzANRyzYV
UIpVHykN3WT3ZtX4ZllIOtvJIQpx1jC2OjrgNTb/V12sXxXBovppGQ/bqlqORhdcBJnhp8Q0DJgt
1wYbPpmra61iu7kkG/nNwbmVtQFmRNul7LQU4WfE4ZaGM6+xHzKJWRhyqur4oPXpa5kq6Bfi2zQk
+EDVVWuNtgk+tVl9ZIv9GTLroH02W7+JWbf0sV6wZVSfqxhk09DHl4Hb4yrS1MEf64aVUZAeC4cd
azIl4UMdZT5GhGdL77D7cOvaWf7Z5N2zMJCGRN1lNXApm13+FgA9WWsuQUBunj30pROvyjjGE8IG
YVGBFCsZgHTMrauyTI8ZxlzP5JkqlIEDTNM+Jqfd2X1w4bCH3KrxfMgCGXKWKkywisd8bi7JzGA9
MeckWCamxxd6qFvtKIARKZXzOU4KWgx0v0Wt7II2+XCUYdP2ZbdtaXYZ6OO8L5UHZoAXS3jMmVE1
PTTxNpVYnW8RqBJ4Buoqaex9H2MXEp0DINdqDks7bjI75euhdVslVXucFq5n9B/kt+nmhwGPmMG+
fRsnIf8xBziT+4u4IQ7EZCqOfY3cZiq3FyqwfTwBHqTSWRmddVhEmXs9gXBWjQzaHR81g19Oe4JX
OjmmoxVtjbwDy+I+huhOwCbXl4RnYPopHuhCWlAT4VZEGnZkx7iEUnDfjKwMq5YYIAWmSxW7F/AH
afMxo/UKxCc7IeJtMfNtX06LD2ZjbWmsm0q6OzYpebiJA26dYjE4LBoi/IZaYraKYR1Rd8Kxj/Ei
o5wqzGZvG9FhnJPPCCXTJhyd86wl23LZti54F2fbADPRGLAp6V2UsRZTTDP3VEdsQRoxA7EpZIzl
m+GMDOrDbyjZL0ydlakSqEgTqvqV2STduT5Cqa/UoTly+9yF80Q8Vuc8aGwdsTORJYHYmQhrOCZl
th/YNQWOUV0XVgO9FtWrhUsJlbvyGA1lqXoTxufmkCKzk0v2cXCGDdIvZb6e+XYKVcSKbwZAtEI2
obHvuOmhHFX+ilThblOa7cKsbNWUykZBcuYXqTJuYrP0zTzt/WAonwJHW9aFM9RAOkJtTXT9vdEU
tyNr6E1rmJ910jyaMdDInMJLCeKOAYO7j2zzFWjkFbtCQUC41KvFzEGpu4iASU1c5SMQKGWG3ppH
UBlTlQcbWawo3XX53VGb9+6MtTu6qBvNXGWg3KbOvhy6GH+DfSEJAVLz8Kox62hd8wLmJdVNWX3j
2QJ7hYwI9pz3bRybh65XP5j1FdslUbE9gpRiq3eFMRQCZrRsJ1qJFXXNiOi6eG/YvBuw0dhxlQuz
QuuC3cuNng4IW1HHibwcd5y7F+5obO1Z8LATbbvrB+7oROcFGcR7xNO27EAHypvFWi0VTBedatfV
0pe0jj0zOqcVzn3BiHmCMtDgH3Cd4RKlADqMilxhkbyjyiWhVsMJO8eXZaheCgSLRHVfmvrZ6vKV
shBI2SjhYVDLx3QM910UP3d2d1+5JbQzsiydZjtZ9u0Uolhr88u51l/iCpplq3Ay5uF+me1lT7LB
C3/gfRQrlm9TC66jrsIbnysvZl4Oj/nCjrKsk+NERAnZQUmJF31h8Izgoba0p2og7zBJr8exeE0r
B3ctTJp8dp8zUV7ERvSYj1H8H6HYbw29nKD8dUN/+Vr9yb5K/sz3dl4HWWlpJisniI1fgNrf23n9
vy25dII7qf5tlfW9nXcIxsXsghTMRbBv2Yi3vrfzzn+TDShFYoZABMqW6V9p5/Gd/7SvkgMhm/WX
qVl4zHXrHwTM7GpyUwz6cq6qNl9pescMFJT2qhLzvZbUYAvBdVEqE+HRf1P74CW28KOok3lsRZDJ
xyakGGJoxHwSC1ndoss3OiSZlRryuImzzRw4SNDAxsYa7MB6VLfp5J5GQ1yUebl1QndHF0WOAMNX
x1pS/A84KDtrvLVE2VNPaB+KVRwhkMDGH8zwZMucEKVKg5VTozDVKdVrWP05y1xVEOtR6c6DXRlX
rZ6dBQ0Xk8licC+MIXtIsfYGE1KtWbjXQNBxXMEVEyg5Z0GWVJiVqj93JmbiMDktS18RIcHrUN9v
CX9lrUbin2JpO6Ru6gZhSQPNgszvzo3VDuNwdegJoJZqGmIFdNv1U7zvcQZlp86+sTv2u5k/vRra
bY8PLSV6KtlOiGzhQUSbckTJWhRrUCjkNLWR35iZttfn8khUWnzQKMsC1L+eQ+vlBal9MaZl6bmj
dVtrMdZup4E3VCA3DWnJzk4GsXLs1RUxLtZKtDAA0SsC6TRw6xed13bBC1amu4TAYib8xs6cA8YF
KkNxdFnQm3O/Fcm40kuaEp6omM8Dtn5prt7NjovzeRJ7XNqTb4bVjUaS7GQ6thfRR1IytrVXxm2w
t8YBvIsqB7EJKV4F9CVCIGbooJlJyFr61mhF4Q01WVqdsug3bg0OaxHpOhIUMoqqRb7SaepmGFVX
ZjTo+SnlcYCrXBG70FFHRtZOumel5E+2iS3MNJni6Hay7UqR1bumDcvglmhc5aCxEqNqRd4YpO5h
kfsyjcVZwwKtVa1mpbJSM5UKSh1LNuj7Yv1/2TuzpbqRtGtfkRwaUkrpdI/sDWwmg4ETBWDQPKVm
Xf3/JNWutt1V3x91XkcdHWVsbLZSb75rrWcNlPb4Q1kxoqrLVgtyE84GgURnTsNjrTU7b2EjpFW8
xAmYxRD2Bq3wSaS+Hsmv0NqfQgRctBpYVdgukQfLhVba0HjotG4oEBDB5fFdR+JKIi32SIxuwoq7
/VQds3afIkPmWo80g463QniF3ekedBaLGqTLSGuYJIQLtGRS9UornElcvgRInnFkEF1BAwUvcVki
inZaHR2RSZMwuSeX2KwjI4pXKVKqk9QPA9KqoSudlFZbB2RXwzKeBq3Djh2pN63MEnDIbrxMPHc1
bQeW/A709HxGzF0QdSOt7raVSy4AvbdUxT7XCnAtvXNnUmultWEujbe4WnQ5xfxsy6+ZsRWzf16j
JwdaWGY1p9YlWnMyMAd2WQ4QFAnXrtRTbXS3qRaoS5TqmGqptYd27YzhpkDLNgzvjAGaPmAtc5ta
8FYo3zkKOMzvgxyyK3op1z0DpdJS+aBF86xYngMto3eFWqMANVpbz7XK3iG39+NyIDfwSgcCOrzF
/k0r83WS3nW5+xpozZ4WaIqjGvkQGej5llb2VUVIyIm7bdFwFq6CJZ/2bWnPxenzRfOvR8TCMvH3
b9zzd1Xydv0Nl6m/5scb15JfPMuzKCWX3BXMgBDcTwt0S9f08ub8RGnyWv3xxnVpuET7CCzT1x2/
ukXnxxtXfME+bbGPd13EExtG8m+OkP/LISK1AeTX/bnH80P8jrctK3T5W/BVWnXEybZ0J9lKXIFD
QuDPj+18IxsR7OXgv1ABOe6aGi+eBftcYApu/Z6FjUzs9CmxWexcxWHVNwdMtjVPfp9SsVMbbi+v
a6HUeF2O9al2suQrNzE7WNHCJXdpuwDXzeP02cFDejOXc7SvzdC2tlEwVuFMf0+egMtc4l3XtG20
adxJ9QcRGkXqwDWWeftUxF7KxWjKF5tLnUPnYNLubJJP1pEk01LdRQtekX3ShBr9WUVqHziRuSET
GDHRgwZU1ZjujQxC9NiE1h4lzNqOU7PszcxTD8CeeussC2Zv2Tptj2A928EybfOea+VlLUODS4+o
DbZg9eJd9nMbg1G0K+8uQVWFuyFrrpnlTCcKEMDuLnNyFWzhuedXE54Ie99I/v8ctdXjMgr8cXUT
ZSk9anElD6y8HXP77yPKmtU1HVxPf/+I3ibAkNrk+/v/Pqf6C/98TsUXvFgCW9YPt9aPx1Q/wZLB
mEoH/jjUq/8+pgK3VkBNBE84+FrH/ekxdb6Qt+DhZdzWD+k/66j9jML+/JhKh9GcogqkLvxkjveb
jyu2NdOud+xLVTVNLS8MuGUxy1FhtgWWVpFm3HltJ9tQjYrkm4w96Nl5xjs7d4nLAGbmV31FrGks
JuPguqVz2WP334x2W54DiS7uZqccr3rsOBdl0lVvXQQtxS7G7E5YozoXVRqU626S7xDMmb+EH+6s
VFFxKJuueo6J1QeE1diBEEJaiSDfZ7Y1bhaqTl+HwbM+DCdZbu3WI7scxKxAy9liueAH3H29ZjPZ
KXgSMy3WSSyz66Low692GsS3fW3k8Z2JaSeiwVpazXJgXApZX7N8Z1tj8TDb/IHk7nt7NVjCUoBO
R7+aXzjrhhulLJ/Va6VsQbAJ68TJ83gsCzdp0nsjXVxYA0MmJTsSbXXCDzIXWAPm5jnre2yeQ8Fu
3LbtjYQzoer56Hd1s8GBjsYxqMA9B32qXkL84pR+x1i5AWS00cpo4Niu56R0HGov2vQwxzDmKG0Q
twRakHvswQWdJtO3Ls3jY+2FznLppk138BuMIbdLyuQ140elDibmgzleFgGETWP/74nweSK4vGX/
/kR44H3d/1XPnv6yP88D/4vngKx0aCyGgvJzabUVfHFl4CJuc/PltOCp//HeFqjbFpcpIQJ9lw44
YH68t50vyN22x/1Wdzzo//QP3tvaGPHzeeACynYJ3lIkge5NHc2vsvdkGtGgVNmfeMWtYfWQH3HJ
zxR/7FH+1qDBzf9//yDiyQLxl5ZuGzbGr3+QRa638VJRn8zeDe65QlKSXMh8Xs44+1zMpF3Zi0NL
y+Yd1UzEc9g+fEt9GT3VVQotgyTVuSXBHdVApqfreHZunbkasG7PkWTuzdLWeR6mxvMJMjbDQDQR
J94ghgQnmZGDBsjpkUiQ8u1tNeY98VIjYk3Nja6kHnQOttrTam7a8s3NxXiS+v3KcUA4yKpxGO2q
cHLWGlFm5NCb6FoYK+fKHCw3uxjy9Ep1GZhO9pDrOLhGDXh32/p7CTstbM2vEnW6ZIvnGl61t4n4
cNNP8OmEu6AgaFIcwnluNk4GIRwnzyafm4/Yp8++FifLrj96Z7jLrQjUBjV9TzIjSBvQe3eJ8qZo
d3O9Y54EuM4KMsCLDQLBMJwPkbYkSsPYPJVdU2+LgcMuQQbZ2qNmfQSntgT2S98pzaPJYu+7Ut7P
lvGYsz/cVGmMfbLrIluCZLKxrLYh0pZvJltygPwWNG9ZDDf3SnScnp5fxrctIdhtLy21DSZzehQ4
aPlXtKtu1WY96E1DEREiy9x4HS0ShmX9cXP428+Y/SsGgp0P3CCiidBX2ErhfeaZ+dmj3Mzce6PJ
V6d2W7yQVLLuaKVYYTrD+lNC517R6rUt9nKrtuXKPYqdswVHvP7/chwwpfz0TJHPp9KJ0RpJwgXu
wXr41++DAXPsI4a4U2hHxzmPp3UWwb6qR0EQQ2bBthlC3V7hoYKFvnkZSRUeLX5GXtaQZpPzKQhN
6OX28txN0DRbm6LHrqt3ob88Szp+ILEauKuX6RukcbmyFSAx2QJqpomXIEVMusaNpy3Bxv0IPC8N
F1BuMI4WNzjTdK7ZtveCvf6q6RQfigAvb1GiVwn6kYioV2a9HcF82sShsUiSRR8wG4Klo4tyaE7j
FDj7JtJuSSe6j8bqjGjCZT/5XIP9mpmXD5oMGrJRZnr30/H6H1/6L3id3/9l8aBzvfA4L6kMcD6n
m59ARMFij0GNcHUCgpfuOQgoBlUmeMAk3qKP0j/VRC//9x/56Wz/7wn5SVv45c/87adpTINUA1PD
CXn1yQ2J+uC9xawtz0TRUyWBNyHyFEXHtGq4OStpkIzzxaJ6bK0G28DEfzSTFkmjNT5CclZgdC4Z
7m/McHlzo+YZ40mzacqm/sMT9+9FWueO//6dfAWcLPqLEV1/1Z+vZPmF95DNG15SLMvg/d+rNDY1
ZjuXsiMPmPQvr2TnC8ZJDGJAO3xchr/O6IzummXGb6uNav8obEFpxS8fc5bfxD34/bklBLTwWp9h
jJ8+5ogdczJKM7ykmYDk2pJnwdrqg/DcmBrzvJRUzqwMc+6fRRofaRp7gjoFbo8p0NHjoDGyMD7z
4pywU+PAvzdrDpcpRV9dc2GsHiKlp0rrc8Is9bBpfM6dZA7Ui8jD5B0ZK0Sc1dOp27JdKwn7luGE
eaBP0gZ2YwtzIVdi2DUqhd4+S4NKHvZSrQ5W6oZW4rQpB+FqUurD8COsWlmheU/hsIrt4DtK34wU
rWmhDkvUfIgIJ88RTfSKfsbeuqqXik28ybp6vLGcBXtMcBY6xgUUx4MVxYcp4VBzPaKhCztkeOQD
dPhWxBe18PZmbVynQ5Pe1qF/3tUx9bqRX66joLUuSuiBa/Af2Xb20pRR3EhZUfRXU9deGdnkr8ZI
xxWFtV0qII1xROHIik2lUa8TZ1YfmdPdYX+/47qGKx6nUXltNNSDOCLbFU29I4EVPyK2riWOlZC3
5uUgcqzpVfzBJhRcaA2fxK58agfo1pid4s7w3JESTtxassFpDKBnXzb8dWsMgxOxaA566W1sq4yv
BiwhZ0mdUv7htrtuMkg4jnBFgCriy1ErJ+jpY7URJRLjEhDjjhsTeeW+FvctpnYZZwlW8NzfoVxQ
NcuWZeoXxdVJ1hxtPQqFZbD1X5U2Sl47Y5n/6VH8i/P712nz883oQwDw2LSDRkMh+vXNmJrxaGbw
t062Gdc7Jx/tl3jWzp45Azr2+Wf9e/5Z/Kv+/fl38ZL9xemnv+bH6Yd058DL4qxiVJOfS48fGwob
wgMhL7hEMBE9fsV/LyRcVXx+ZhJvtV5d/FxWyQXHk5xa3G48BwtC8E8uJH/Ba+aQhcno+OiHnICf
iL2fTj9wpqysmpIw0pBH50ZUNOHdNBHuP4OEnu1HLYfMWhhpUEgiml0PQmH9c7V8koVFdSi0pDJ+
qitpDp136skJC6lp8RhLfJeP+Uiv1SqLyqMRpO6lXBhZptzceUVEiSsGymDx312yKxgRcPGGoViK
tQddpZzG87TMd4ZPvI29ZX/bDe3BHibvOZ+I17dpHGxHjBy5WTFq1fvRjm4bi+oK0wOg3trA5ctC
nXWLdQra4B1T703i+FdQoA+2jwXGN/ZG1T4akV+fl2F13sTBQcUiOVjB+Jh3EbeW+K6w3fso8dnH
+wEAiMyp76w2esK6dHD8epua4RP+sxeNbMSDwOiZdcO4x+nL9wz6npcPlH/F5EhD73kDQn+VKfsc
Fv2pwXOBySW6bArxQvHKVbeUHx3/0JjOYFVXIz3KYX0sZCbXRdWduQHovhkqAXdZNAFosxmmDXRK
a+PI+biExqOv4pt5FOGaNNOhj+i5bpCStgElI5WvvYFWiMmaKdIem6eM9W1W4cNyHbXsojlfKBGN
38DJKgCK8KNKa957RnLMI4ZQWpRPZQ1qZuzyeJMo9VCHsdg66qP3ZvPMy7yABHeDucGlFVuyPJpa
PBFBcNXkPU0JSYJOJ5uvPmGRCyPIzzJX3eRRexYMCn49L760q+XajcpsNZnR/DyXVNJE4rt0W2eb
0tFCO8/yJFRNnEA8A/q+aXzj66Csp7HGL6c6Dv1CcHccmfrJEp8KSXUZzQO4y6yWFfeIbYusk2G5
pELqaJfa/dscYzRyXGeHuPM2s3OvMFVhsbMTr30dApP8nuuysyt6pJ7Ot1zQFO5Mi7ZSGIVnaypX
UHN7bI+FQs7rfIlluOA02BCcKLl90FNP5R//4kuJ2ywJO+p2OoQqA9cYCCQDhngdx2fzYF4tPAwU
sqVynxn+eFMLtgPTaB8dJ3UIGQUrp+FrlqQ2rtIochBQzWoL/nokA904GUiL2dwKJ5kOhTTcldtU
ydH3pwVBwB23+Nu61RxjATa5sI+Y4HwzusK3CEzbti6dnmw8KtfN3BJoafP01HhcRGzr2+i7852y
jOyptFIcVk3RcudmixcqtFCqClbKc0CTkAlD6OtWE5GUlWPxzNL5xefGDkiIliZAqLEfTvht0acr
CvaM+TKzMXsCJVkhZuNdzOn6Iz/4qnrdmwMDAjLUofSoYRSufwQM4R6tiOB9pVlYOL0U6l+DDIw9
f0tdASmvhBd7GUtsgIWqd0ad4yDvFvOtsezHtChYAbT82lGN/r5cmJiyLHf3VYE02hqpiZjQVPgX
9M839IrVQgyQ3D0crPGU6HzguPTHlMBgPPK3NsltW0QJLSKFic4WVp8pQ+KG9LD460knEB2/5ydE
pgfr3o7kwrwriCvGbkKHmE4w4qM+93WmcaS5KiHkyH5y3xN6XHT6Mc8VnRojN2iCkW1PQnLu0R9x
Xu7Duj7zCFFGOk3pss3asHPlgSVpaV/6xC6Lz/xlPFyXOpFZiSTYFjqlGTXmmUtscya+OYr6vA/9
90nnOnMCnqxVpm1kTXs4u3/cJv+dEGy2eH8/IVznL2/vinngN7FRf9WfM4L5xaT7DgCghyzyKVX8
OSPobj7BS5b5gAWHfj3/WFoGkAs9R3AEUeL6CSH8c2npf5FsGQWrP9v6o9PnHywt+Wz+dkPC3sPW
kqUleqPtckf6dZDkrcxzzTr7qptIthF5+FYN862sBmIsQXRFjjd9YwgvAdU6X50Os/PgGJgm5PiB
q39HFEhA6IEIF/mQ3MqchkwJ8SJR4auKcHtMuaRLvi9vUSCivRlU4X4caO0rcpJztXztneTOG5Zv
McYKqim7fmXXYk0mD5aOrMmKYDoqJB1XTlDuqGW548/iLYWiwm4o3tj9bNEO3QOiQfHrsuBeeBaK
exZ9T1v/UqjwxhTTVcyrqEJZXQ3DfGOjjeyE7xBHEMP1ZMtqS42Gt5I2iKQiz+Cz0f5C06nTEEg1
he72woNnxSyPeHm3WNg7H6hf7WydjHr6LGfT4xRcq2rxVQXQ4dFie8fZ9vhfV41yE9rf5sNi4RXu
ytjX8PwHN/heUNOn7EmbR45y6B57k9xPnbYT2Wbsyv0MUdgb2H640/yOY/AwWHInHYP5wIwfIotr
YOAb69zPm5XgMGH5iFlEXo2JZF0YrQk2P1SG+9r38zmdGOiqoFQciXnIOvRhdkNcmvCQ6936/AuF
0B7pHFK7Mc9PSgQAX8zXbFqAtZiBhRIEkDGQ431hi6fUD07cvuisG0rWML3V6ozwuZX6X+kTgI+0
mA/JkObEGlNa8sL7elKnujfOI5UF5Djyd2HEz9NgfK2d/mKKp1uKy3amZzz2RvqWM0iuXJfcqqoj
uVryCkhmS/Rynu/MHuMzMvglP6aLkfpkbs2bUHzg5t6GNn8drbLVUvMRRXJXxemZl/pYYyKJjxS7
qyqrZ6f0npyi1aXB04voMa7yIccto2eTgbSqNeTfacz7Fig4IWxd9+TNjoxBZ5XXfScAgfs8dr66
mHEiLocrJt5ry6TyiR7XCeQMc6Qy5nRjxL0PncTXAhS51o5/pKU0cHODvaRS0L7tvHrLDo6MRoHq
3HZlfUTXj052Xz1M7VPeHCjYcJ4KHGrVzMEeR9w5l07c03agB0EVHMIMRFIFSWUvBqDcZj+Kdd9Y
6XbuY8QHo/7Ao9UFtPM1He0OcZjO267A738/sOTLkNXwugf0qWfirgwdDL9G5DwkIqU80ervTICZ
q3AmzVrSFBWMwyb3Uy75ZbCf67HdGGg0sCFUfkxqIfVi3NqSoHmqBhd2xMLjlsd8pMux8yjXJatF
WlDj2zaRH0x3fk2fSRXHV1O8fNe386SJ/A1J451JgW6fFSwOiNZtS8+PN5kfYX2Xp0mIFV7X9WL6
3xKXWl8fG3/nx6DmukMCeFKRJcyn6jpP+h02+m69GO15VbesZobuKOIyOuXZdJ8JTAGzY+2bQJza
VF1PTX+vCUDKAfAVheNr64mHqnIeCxMqqx026xRC2qpplgWfePLAWhgS+MIb23es0xgOOJuJza2z
OL8wRwKOjmWvaZpmSO9crElk0OzG2Con+5iX5r5O5UPdJJesfl4xHBOXgBnnAWjw+gqGUxMzZTUj
l44Ok5YZWq/mlN76dnnBDw9TcroAY8rkfTEwIC6Q0Nbu6MfbxqcBZDEEpNOAQh1oprQOuqwtDF1G
c2pj+4C2MKyYd27TnlPAto6UR59T+3WRublas+HrqBf12IkPBTNpUlCTKn1yFQWG8jDr3g2cKbsq
aNJd10Pkq2tUkTAwtkPeE3IsreMShS/GXIClWO6N2WGLPs2EhJr0bqaNbU0u4KxuSS3iN842Mmre
aGZJVoZ2LVZFeZ/4Hon8+i1ZZLeOUHi+Yqs7M0r7XurIYFjz08glzM+ezhbQBxwb4wE1KwR30p/V
KW+HunsL7BGnWZHzWWuLnsVObkaGOirTmocVKxt4AV7Q7tqwa4Nnu2g7+QeL/N+JSG/1/34iuqy+
V29/MRDxRT8GIqRa7W0KWPHy0ghc/tPPAxEhZGiJzESfPqofAxFYTFjN4geuWafS/yPifgIzAf6w
Zgmgf+klzD+Yh/Re5ifFCeULXdVnEWlZSKuUKWIA+0X5qhrBaZLG17z6Xfx+2cgLx5VXFixHpInI
0B4jcoujp1Y9ZX/Bpk0k1eAQfjtAHn+Q4jwrCj5GUkSKjEr4QpFrCtdlLHPjHF9Ki0QVpzO+qsUw
omuQAfgOeanFunSit6d+Ql5aclKNbRCyaCD35uBdnT2izX3HhIcBc6Ynnrts0sRncuzRRPLU1dQQ
hJyzJlJBym4EhKHXjLm6ioS+o/cORK0trtjKW2W+tzGXrjfe3STo/rUw/OH0d1A3/v6jr/tcjtVL
0yd/YT/UX/rjAbB1SB/fIbah3zUT22I36LFKxNYvhWf+ZGMg9I/KYmNVsExAHj/bGNBgfOs/v9kn
1eofPAAQBH5/AtgW4pTgtiLYXNIf8+sTQMyRRicxq6uZiiFe4XZvkcwtSz/FVx2XV4mguyGmMtmj
Ipih271pdGvwEpm3TihuMwXnE5kExl98SAfwKhQOD4x5GYhUgyLinEJin2LixeaAH8T0yhx9YeZA
+hxKjDGD7cJIXrSUG1ezceNRdizn8htcVijWzbsv6JvDBY715pBRkhzzCBGaJ5Djxw8KnrMhTHhU
+aknWcSK50SHG02+3nTh+cveVdYart+9CyMdRFy6zdX4SnnoZRhwg1fOMwGu/UClcxl6JAuC80E0
p5DK5wDmTgC5OYpripu5jFTNpZrsb3DIzmL092CeV0ZWXaVWeqJGZjv0BAapmI7NAUxWex3H/WU0
zutBV1FTSe1QTa1syDfBR6sCe1ukdFcTLD0ulFmHIyRLD89GOoBLheRJ6XUcLXuD2augDNur1d3c
znihp+QqconmSgjV1Ge7lIMuc3tb+N1rSb02lY4nnFkXA7XbLtsNtlhnfYM5n1pucmMnl5ruJdQM
GHEr9UbDp8i7043eIh8vM93xbc3NOQUvL04lbgNKwGNEMtqp5VVPPTiZ1s0SDQe1lLB1jNs0mA4W
deKimO/ZKmK1hGhC4J3BgWEpDs1mLYvmEliNztrRT57PfbipqCyXn93lDWzMGqRMNNXfbLuOV5AJ
XkkhU4itlK4/b+dgZAz5rEXH/RYfus8CK7HoMqtUeKWzH1TJAs4iNTdM7YHwtbmvmh7kKYTErOrq
I5E80FsNs7SFo/NychcCziQGVzmA/hU5RnjbzpLe2paNY86kWqYDcFICPSZi4m/5Ky1rArjUiZe9
JIQpUfF8M133chRnBNZcqDnzXSKwoQDlRHNyvGy39AAg6X2hHTRq74limNDE+3mV5vZN4sMkXdKP
0SWMGRj2V8MO3yAoQ3MQVwtsY6EyvCnZuMnGgS7a8B0b/aXPmsfAdZJeqr4btvzaft3UdMs6XkSq
vbqxq+Jh7IHdkieh0A/n8nqJRUbYW7xC/aftVmlOUNv0m1YEp0SRGZNT+j0weAENgllrGPCvZLb/
HtXBcznb99if3/n+41VXme16nh1KCes5WsWFU28QAwgFZVxDBi7Lda42pE2BmBdHXPEPYpo/emmy
YPOPoooTUtf9lgaLBwwzW+w2zWkOxwYaLEKm3RveZZWHdyxPiUAGGaXfupy2F0AlsGE8jrgEN21D
2rbSl7uJUlup623TbDqERr5PdfFtsAxPi67CzenEhVTwGtORO4mBZbKuzUUJJDJIka6kez7S1bp2
Y+/8mj1549j7kPbdTtfwckxxYSYDE8HH7mnqnSOH39wQb4ku8fVwCQd992rgy2lttOApNPEghN/g
ZsCrJQmz2D05Dt0N3FMSLDqcYYuqv8Yjt0szneftpEuFpzB8dDQjKqxDyefL2RGcYtAPRh5RTFXE
Q3gsWW22fHvgE0ybxkhdY9yz9kuyZMRGSsNxsnh8b8Oxpvt4KlBm5qUHO+wcRtxLcTeAZTWPna5N
zg3k5YSL6qqnUzmLzbuRjmW3jL9aszRXA6DfEiD/yhcgETyamUE/0KY3Z/eIKNwtCxAGuazz/i6O
s3KnxjaK10YVitXQUGBopEN8EOzCidyKVWmixpgLszed5AkR0KJCS7KPoAdvaj2oSBoub5KKgqnP
V/C/Y7i2ZP39LPJVJViC5/8dxPWX/TmH2JSDEy0EGizsACfzT4O48wVPs+u4Fk2zzNr/WUsyaxM1
DCSMTBzPTJrYLX54KZnqpTTJRjDS+6ZeZv6DKQRD5+9TCKapANqmHfA/fCva2PGTdAl4efIaoofX
pVULcdnaPQfL3Cdm4a4YZAktTNMwMAfI+q0ZiuelWuI9JIc7YehIu3ydB4J3dR+dKbZ2TZ2UbAnQ
d3ohT2ZnNXxAeSlUNe+lsAqGDUSyeGfXHmXIdXQyjDDTx1+H46u6aufuu6FDhW4wfideUG3jinhu
QCARtsD5JKj2coL0UgfdlVm5m4pABU+bN2w6qhsAuStOKmQI1avXgaz1UmTz3rT9V2OydjHLTA7e
6EzK7lQuGbHqDDC324xPBNPu827O12lm3Tlu9xgBMd2z8/NRUBzvKkpmvahh40iVktpac/Qi5VIB
8eWO7yNlJDRHVRpDCxb4jou+5kgkN5NtHgvTfYeVsHcg2LYiOacLg2QlIJsJxi07TH51cFaY6pH9
7KGaIIKzUn2soOMGgJfGCp6M8waf+E3Z7ZVakm8uQN1M+MUG9iqMXde7JjloI16NZwU55VXa0Za1
GD0yR5bctYlzwkh+Wj7pvWZi46SD6Os2fnFILe4zrub9jqa4NtyR8gsSLyvXoOaFUOV5GtNQkGpi
cBPll3HTE5sGJuy1xhHlk74zMMN+BT7bDIqrehZUkGWowqou7T3s472vOcVKA+xqHBz7TMZqk2qe
sTeE09btbUKJOf9VzvaZisaHEAwy66Rrz+wpVy+ZMY2g2Sv2RJNts80FomyTVlxNmqtMYg8/Dqjl
wsCLq2wj3POgheuxGs5NySHMj4JfqV5TQ93y/rkGjXqIUqCEnp3u2bzdF504C7T2mC3efZc2K7OI
HmhueccObEC8tCFEa1b0oKnRfr88QjoBam6zPpT1N6OHMJ23470RMHLwpThZNYfaGbK72bDnLZvu
emVZ1UfRGpj7q/oS3ttVJniPd8CXVj6k634axu2k4ddyLIi0psqnqCaxyZUGZxC5SOfRRvzShbSE
my27F0dDtZ0s/daz08mTe6cjS+Br/DbP2kZoIDfVqN2+ZM0JRUDVZ5NFKbBTmedsEmGSs7Yp0sTZ
cCW+ofImphmmWTYSAniiWRuzhoInn3hwOOEhvPAMA5f+rN0J52jMH5nZEK+P1C3b0K2joeNxLHHY
Vg/ccT64UxHmkeJDLeZTALLcHPNTzT7Z1ixztzXirTczq81Fcxv37UuOSwHB4+BXy1H0AGiUpdno
E1Oi3+rM5vxht+o5Mvrzsepu8tq47IY0I8LabRaA604wTGs4JmxYNY09ZVeFSwlCu+q6j9qAG5Kj
/bKnlC9Jo55BD5vkIunHsDXrfRp9D/4Br+bWNfx1nopHTt0Gl5fCRgEuvsOPgq0b5g0H8jmd7dM+
avt+Fy/DsdO8eRvwvBdPL2AtIapqJj2RLYKWEZz6VmD/KLwNczmYpXi669wGiiP9NvkEToHB2N6W
pat46CoeCd9jR0l8sprCU6WX+6IPp7U0oju8HFdVHdwFoThzptlfexD/US1yiFhQtyKr2UWdnz8y
GiTrcBwuDDwxgLL0g+2m3yThTOSNMdtxrHKzsuPXqWQ3AQ+NQG955EC/nUVFvwIXUmarHs18sFfs
kLkQaZ4/DFDABQ4SsVd9Df3yGIeeWGdNzuVxuEkwj4KJKVZh4nDjqZS1LaOcrx2GOxdRAMm+f20r
DGBBrULKgO147aWNQTzZ+CAiyPsiVsneD4ybcq5ePYdnu8mlvxaF1lymCNpZuJQnkwUyJI7m0aLZ
GBI999hiZrHt2ERNY+7am4oz261Lc5eSAt+BkHtlcfqNlbRY06u7Y8OLwZof+YrXnVqPDmJ/h0di
Rxyff9MhwYrijGdBJGiGYoDnocGs24vhPp5BOPBOXHda40hcCOuuxP5AEImPG/7oTZ9q6no+JBe1
sXB/EJSsGE614oZJt7GJB8XIuDZSb8ld4LtbuddpVL9PFr9dK9JHNk5IX4o51OvLC/IIzQn2/iXv
/2klZXlGTONA+7Rai9mGf8Rq6bHJ0/zQsuDGe9Rs8tL5ZnCLoXru+9jkuyBM73nZm+cYMGBW+cGh
TaIrQLNfac8+c4yWNABjOhfMqsc5OJ6FND1JAnuraoCDOyp32NhSvsGuMTaFAmnTVPWymyv/1gqL
Zoubg2FzoYGsrgsuInkfHkw1v3gGH4YuHuwd3GcWypSJ+KFxTKLoBaV+E2WYwKe05qYIupOU4DUN
8taqCigTx1DyVmPo3nGVehImN4K08a7N3nuo8EeGdT6dLZHzkZos15wBWdK2Vbz1pxJJgr7tVee1
2QoKFx+/1EIkSuZg1SzWk9cOp0CAmiaaAEbI4NQmiRFtUskSwzPSF7O0L5nroSfDAFo3Q32eDGzo
uUDs54XLXu+4XDrN7CyNYD0hffC+60CJNjZ8nipV+ZYmoe9kvCm28CO1G/CCsWEfhk0FeKzKKFiY
De8btF9rFUWhuy4a4yuGmXtqdQiDJfgXxvyib0HxRb3PLr6taFcT8V3nceUF4IAFqYfhaCK5lv11
lI/B2mm7cVsAOAIzwvPkEJyeIqwLdlYeDCYnHsjUBFTbvtZRoZVXHnvSYZTCnTUecX1dhDKyBjVq
78Mz4YnTrbWRhS44CzJcn1ST0Z33NszqPOBNjnnNfSO7tW98rl9lZEFAcMoNNz8UZC/7FhUF16VJ
2Wu/xxllFCDJX00/umAwACYhDPwgfXqs9Vqo7lPMlEkFQVbx3/zsKTJcSMRj+tVSlAkgX97KAlaC
jS9OQEiamLnYPC00vtVVuW06lrSzi9sDfY2/Dh32K39UVLFW4tynFMz3Z80Mb6hbH8cPKARQsAGz
b2kG2hGVA8qinUvKwjZVqjWfhUvHS7pt6RJA7bP6jgIOGFXSchgvJ85pVV5OQnHz8sTR8rs3yM5Q
1ZPuWzN9WprMe3bIx2nOv9qC1qWx5UiV5uuga2t8eLP40FgbVXl/UbdqV5oYds2ZTUFQU1feeel7
oHc2A1JQPZXvSwF+KsDvF6nlYNsEfVhGUXZ+Xw+ohi1Tnsw4+uKGT2YcjHJPWJhvspd7oIgfXsxI
J6sJ3ZWZb0ix1QKG72V5CEN6OLLyJfSz17Trr4RojkXSWZsIFDXblP/H3pksx21sW/SL4Ej0wBQo
VM8qtmIzQVAUhb7v8fVvgbq2KdqmwvGmnngikyiigDyZ5+y9NpVSrUjFNa/HUPZGnZm3XxU3Y4Oq
V7MJr5BWoNguW1x5ZAZODFxDmNmL/qA/1mMBQKuEsyZ6zpoxXJ4qMJXkKs1n42Gi72SdKgnq8FWq
t2UPusogJq6U9v+dQWlF0x+mNfzPZ1D64QR4Os/11+e/M/YtP/z7SZSREII5DUctEx42we9HQgKn
ryJsjqEKo5llXvO7Rkb/TcYjgKqVdYy2+MLB/f0witPXwD1vqSr9a0Yq/8qQ/9FDAPETGgC9eiZT
yK3VpWH+7iiqhrI0tFOmnUKOmc1pHB/f3Za/kXKj5/l42MU6qGGzwqCA3od3+OcrdH6jtb4+dqdu
xhGGTY2E61Pqx9d63X5vsbHVjHpWmabic5XyHVqebV3FXmfCwDIWI1yBIy43GZM24jbuyJLBMSel
CNYV+0iDaATngqduJodFfrPZsTBX6jnIFvvdiNQk4Ca6Ogmh01otprnh5KXvQFj7NCUJE1Tx9TPh
ikx28lH6rVJShLDgBz2t4fxTM1p9iFPWGDvRXrpwxGIFhpyeV1gdENtCnJGts1makpda9YNdB+AC
FEQ6HOwH0iKZcqt429ZyTQmb6vzQ19ET04KjjsnXtrPpOAS4/siK2UKmmVe1X936erohw+LCCpFK
znP+JAmGvLI2fs8SCSkTFazJmNR3mgWRvL0x2QhKotyplf2UCGmbl92+ZaFD6zxdjYm1j9k0QFur
V3Kb7CvTfPZlJusscNsAhWOXRM8tDgSnMXFGMRdMg/gsMbVne78KiV9skmAP4WwL0uOo5QRh1Up/
karobaCI1yU7bpYwhHqkQERzu52T9LL2yahuZpjHEQjESiHXXIr3mqTdtqnMSWBmH6jO2k2k5oUb
NuTkdVa0m1Lqih7r4Edj7BnVIv+D8NtpiKUF500Br4VTSL+mH7ofiRaxtf5eK4h4CvWT0RiPTTuT
7aNdhxkJ8p2PiU/rL5Ah7oppIEgsBlDHSTCzh23aD0ewEzeGXGQOpuh7JW++yL55b/jduqiNvTXr
a2msnwytJTCrtTeS2jwW/PHKlBH9Nc3fktT0JjN0a5+82mQ8lkOMXaMKsIdPLO2t1SjIyX1sX+YT
bwE75Pgx8PGSjk0brznK8thU3wkI2loLDlktn7paPEqSuGnMhT/nx3T5bVfo6dc58a+QjMxOOAVH
oA0JxFx4bZpk3oZkENEaD90gIlRQZNlXW2Z3KJUhffPZ1JFUUhyjyCC+rwQApxs3sa09oN4iSEhh
6ktgC29PPNAUiQ9SB6FQqQbyWNhaLILj6xEDrNtNXXqAXEMfwFAbz05LiJNa5HtDY5yCVjHIbTU4
jSLRsCvf+kqTBZgh/I+ChrkB/Cmre5/91CQxYYmjPjqNdWQcq9KAJsCt4HhdEu4iJbTw0yJcaaFZ
s1GWhNfOGk7V1k+uCws6JnJmcSD3DGjIRDxAVR9aOuClVja7HJqAI6uLO0Wpmi3HqNgLou7IwBqQ
X1LmG3nWIWDNNtKbJQ5ES0uvINIUK32Unk2YBcQUS83VTOig6/vliz5PX2pffTaTasv6dhHDgHRt
WZJWpF8dfQYoy5hFdxJDH90WGepNsdgLyKjyU5oF+fXQ14OrKMZZiyz2rhy1Yw3Fu9whBM4PZkX4
HCZu/v/hKu/YYpWL8LaY9vhAt2wNFu24W87tMY2lTaiHFyIV9wkTHrUT+8H2U1JtE9xdWD2bqCXQ
i0waueX84muR+bUcaMmj9Fv42dWQ3SZyNqz7SN2oZhERkgNDOLTmhA58VF/MVnJSlRL+SHMlV0bD
fL5xxgyf0DzoK5a8nSL7nReoRr1Lp/7OkMrbjDy9juDAFDdyR1MDZbbNmtPtB2EUT7m2sLMj6Ts4
L8BiHR4sLod6uDQ4WgMnAViQkFlBP4RQLaZqG5Z+opgrrqB06W0O02yF1cTedziM9gDLTjnUG3KI
VWvXJZiNtcK8RSrOZEaLYU5n6OhWk+b7BO5Wt4Y/3Vq5Pj/Mfo7aoAMNxf6VZuQwrtuJjn0p4C+i
PSvclB906l7vHuoI09NoTTQP2OGFVKWwBc2Y8xUPGJGsrCYHpHg0+hK+GGMek6SHZgkyNPdJNd2J
MPb6CFd6UYZ3XarcWsCED+M09sQJxvWq8NNp2YsPTinEI1EpMJ1HrXroDPDmZZEBjQ550M2oQ9Dl
qw/KSK/SV/SRTphk4wMQk/d5eabd/U4R8sNpZYB9ZSJPUDhUkZ+Ls5Jl2BWDOD+14GX1cd7pxnA1
1M3688ssbfW/uQ4+Ih3TIq/9x01Aa9IWDsL8lKXpRWMod6xKl1aWPbFcgsGYaABhONv2Y7lOrWTb
KCFWPtp1Sn5gpTrq4NdiO7kK/e7aqISnEn1KBomTB/5r0RlMXngFCJU4GeJXxt6//eTIdRgLaPoC
Jfj5DulZV0StneQneoVOMN0u0JCwOH5+fz4IlX+4h8n0wU3KHdJ50H++SsMZaAJv2p/KIGwcydB2
asHCIPyKutH36D+l/gFTQHGV2zyDttgNFiKwYoKG56ug0uNsHUpzd4WZx77JqUpdAb5T0KjUioFS
rgDa14vgFGGKGX3GaoPCe2NkA2jzJTlcl9PnBLA2ebHRZh4qx29kwwvTiFz0Vn2RamWNT5NoAbUC
WApIyi0qdROHIEEpRWxtQmOHLfEV49DzaOr07NG9jWZ6Mc1mTz9lkmioDPEFhj7cCSO630BmfBva
dCjkKPjid3J2Ww069UMOjnpW6uvGKNst3FyvLyhxMtaMKTYTrxTKGb15vhpnUIwkCx198dzRwiDa
lHXx0ZKQjZqDvJ1ijXAb+hV5SSBqiaZJlcSKLDyKGK8Z8jwkFqOUbeuWuUsmjwAM+2c6hOHLhLdC
AJym3Rviwl5GIE21ptfGSFIZrzPDSE92J9OmnMcDPqUf+rp/RBQwBfr4vuBg54VcXJCLYmVxJb/f
lmNhLXL+DUyWrDyrdsNIt+zTkyEhcGA9fQoazuekdbuyAYs8etNopxfcFSStYQLvJWguoAo6w6xc
6IX1gO4zXDeZXq27Tmi7TFdAeESkvgLnJWCp0LKtQlFfQduvVsyL2Y+wEImsyNG1VjdBFtHyDZuC
asCkGCYNVFiw8tn8UhfGs63oeFxlgnbrTLkz6MNruHRX9MmJIoSHWOt0f+vBeIgtYwd74Jthjgmg
A5YB3FRGPt76NpFMmLeqQoV8iVUI0FY3KTfMei6SOLwhuPY6M+2NMbUPFrRekjEIVzSqjr1g1XtN
h3jA0hnek2C4gutF5TCkZ4lnwi1t9VFWpQc5BNRZcZb2QhOq4kzrSBoLT9bqjcD8bENfVgoaYGG/
0hKGvJY1HEwE2IOMv09Oy6W5e6vCFrOtcdcA/FEH3DlYoXPT8BB0IynJVwmgPToYRzM31gNgkdCM
YjfKTVexoysCSpPdZM2Ev06ekULuK9nQFEbAuYSXsZfsq6Fqv0P88xmrMVfv0KG2ZCAYADEVcOey
bByNBs+OWvEtLaQPLZhdsuJKJ+nCo4SeOJGH+wKWRiBFl0u/kDiJtZJIh4wqjoNqa8npY182DJec
3CZWciUzkFql/rBuKe9QC8tVR/LtKoVkFg/WYYbfQNJoiTQhWNzDLLozkUExKiVEuZcYtLdB3h5I
nT3mFnSjtk2lc1oO5XZKzb0WDIeSaAyo9CRIqGWEQknE25CpCFHJl3VK40rNvIJmCU30S0P3TGIy
ButEf8TAD4fmxOzvS0GmaSYu0GTV3uhrxzgcmBXQXTl0Sm/SoJFl14z9fENs8apk37AtprZZTYa5
rXt2ISZpY45JthpBGfIvStsv3lT1g6JMCe0ptsukgy6Ki6y5gPDvjj2d+eGc1Bd40H/4lf9xbeDg
/3Ml/XllQBH608qghGHO6YKVoSheIVD24zV41zx4QJ/zeU1aQAV/uRIyVk2BRmSi9Voq47vWwNC0
6JpFP0K3nAKvjMZmgbEv3oBiFxYSz9zYH8oSH3iByefCWuyfRlxgGlhYz1BM+GZk6TtB8FdjrhLD
qnZfpKg4F8K8gR7jcOpx20ZZcNAj8X7BGjPAUx5r91KYltdBB+BaD8N2k+ndQY8FflTZmzAjuGzx
NkTamfe2Yt+Uc7qik7LvVCTyqnKYA7J9S/s8JMGhpmybUnJIlGWyIzlSiLmtlO+zsvai1N9hfEGk
RG+w1bNnAnd1Nx2Cx2q063slWCL3IJf84q7+3G/5Uejf39QPmJDE0HLcQ9Z4ssancP46WT/6cf/4
ePzq938oHEJK2SMHyXSKrBu4s06l3v3isfj8qTA+PH+ZkSUiUYLppCuXkSY73CYRTj+ULf/4Vyx3
4S8wFQ0SJVtSoFPGh0dvNJuBQBH+CltxlfalHTL2JHfRaP7i21i8a+8utLCAdCg8qDFofrE1Xfzv
75/xKY5ysplL5cQ25oWitrpN1/4Kwb8TufdO7tzvDLc/fr2O3PDL6D2n3vSVN7rZqrvP7+oiNH/3
QX48F+8L/ocNoN1HdrnAmk7tul8JV3jjTbfBb7m2vQWhsZY33Oe17ALrdUKPjMXe0075y+efYpGn
/+VTvH86l8Xn3StP5F5qKYBjTw/jTvEwBa/tS9M5N/TKV5t73T2Snb6xT+F63OY3+vaWII/NuGXd
c+YNxthmRetsZa+kY7fNN805xBjjBKsvhdOdiAnd6Dt7R8D4tr7L1jeff/QPMJS/vlgfbqCkNBGT
alhSulM45bp5LdflrbzC2bKiCb+KvHyd7YvN5cvR63bMGkY33qNu28cnfMyuD1TJ+ea7Xz7/VMrP
zc+/fKqPJIsI1VdtGnyqcAeJ1J232ca/zYUD/ppYFsd38Ks76YZW/VZ5opHmfX795fH97D36sNqw
1EhTU07jScyFZw7DYZYScnCYgXx+nWVV+ew6H1YdiwEdo5d0OrGndvrhRYzbwfg6qV4lSCIt159f
7e/XuD9Wh4+HSYmUK1Wv4u4UMuqc/OsyuPr/XeDDmU8dAYgbZA2cEv2gxPQBbXP1+RV+8cW86dTf
vWhSVlq5OfGiFeWpyZJ1qTzMOOo+v8iv7tOHxa2R0ybuzbg9jcu3gpXbHmP380v86u/48IB1xdx0
CB6n04AmJDJOWTK6c3b5+UV+8XSZH1Ylww+kieYc1QCdjGbnXpK2Z1XtXJOhYDwopx5KzeeX/Nu/
S39zMhAUCdDp54XQwllA9HTbnTRieGJypiGcGZvPr/G3X8+7a3x4aUBTNFIVauNJjzX691dZ9ouu
wq8u8GFJnJNsVOOi6k+CRZtmNETgX9ymt/r42Yu/FJR3z3EYMfTxU55jzgYA9Mj+2JIe6szunimv
F5w7J/tFhicg28/XmuWvfndJmf6f3CohNeqBxnDOqnoRcG1neJaP8653LkFc8Q+O7pHc5VhXknPd
ektVv3ysLtU9p3ag797UOtvcDTe/+nh/W8iNd1uXj09OVA9C9nnp5PNSyCUHjqy2y2XXSTba6j53
9mCjDt/FVw5n9d10QPjxi9VLWZanz76UD997LzVGWNkTe4lVv5pXAB8Uw7EP6eqaDISjuulWj8ra
d3I6tut6U24sV/rFCv2rj2B+OBVJY4coZSjbk3QoHBLP8HN9gzmxMg/d67gFM3k0NyBsvgePqjtu
kjPSkNfP3663g9cnd8H88JwkvZppZGxOp3pNDK8jO9Gyq9sl7m2/G3c7BDTOfAJRfy/WxSpblxvz
Etv9qvPC3eCET+kvVsq3g9lfPs+fr7v+4ZZYEslyHJW7U+VpG2NjpKtxPa/nY3SQnZdg568T19qV
W5p6RyRod57F7iD32k2yvolWyybhf5uD/+TjOi/EP4/ub7v0ueZh+si1WH7qj5m9+Rs4fIEMXOFs
wGjnT/X4G4wXfBXtOXiPnBv+nNkbv6FlXHTiuhCsAEvT7veZvf4G0dcZ55saZxom/f9CQA4v9ac3
XBdc2JY1HOr8V0ZIvpSvd2tg4FeQr7ICHG9KTidx1U+4wyhRSWvCyElXU53e67IfuVPhX0S1Nax0
eWjcOu8vGYvviLtjXdIVEAv0xBopOoQd4jkT33WhRDdCJN969J04HnoaYtKAM3lQLooZFaovjMDN
mvKcj+J+mI0naHoPdgWSzwptbe0vLg9bIp9UkyTibkIML7hPTPzJDkC6L7qVP5VTcdeHqKKLtqF9
bRhfakDU+Zjft7Z0T8zLITRM6nt00SfhsS2ip6aANBzZ5mWt6hAUAsvL+MOcKY2MjaIUrOnFYzYx
HNFidebXLozidNha9nA3KZz1YYuvNW1uV0qMiV0bIsBGkvWtCnHIsNU7Nm16O6BOd61A9/TEuiZD
8VvV2JcRcArGocyMRRC3ng9Nxyr7BwJfX/y2ePQr5UyI+QtOBNvtkjrwunwwtw3ZcbiKyMZtmEwF
T6nCMLRMLdqr4DScoSxeBtm+SKSpXRG4xzRIYZg+acQ1RhVNULYlx7ZhUq/5dHbSFdykGhngsBb1
sA9sexso+vU0999hGbyaWX2rRsEGW9dDFpCzKEw+JF+SLWrdGQZQPYpAZ63APL4yaFCRBfs9je1i
5ZMbVAhfuF0dN0ReKvdaoF9r7eTTUU5utUD53ilGv5tgOToKc721pnYPGYH1DYm+DnQ2ZIOMdvHX
xxs64o8k+iTYDLqTEurEiCZmStuegCKhSaTFJGtBQoFjWGJTtSG6iYQZclfyrWWtwpQU9tZbWnBF
RIwRNc3Gb1AFInzcL6MjVCJMjvVhvjbpzQ+5vu5QoREk7i8adbxAoh2p9nND67LjidPNQXKtmYd4
avgOM6UMgCfNN8QycNXcQizXr33R3cyWuicnFyWmkgJmq3wy0VPABn2XvLTF+GDhRXFMo/wqZFLM
8sLH5D+OaEiirVHVkltI4VaAvlhJZpK7QhT0qMVGFoDnGyEROwNxyVF76zWLqyOi8x5XWlx6DMh3
RjBNMF763EMPBviCjCMF1i9PI1HJavu16Uh9ErUMHWou50tMI8pBI5Z4NWKhDXbpWwhzkgz3hAvX
vVe/hTRzGwhsVlozGDwjAg9mvEU6m3SvidBryxltXJ0ukwMrMy/xkxAGPVVReKlWY/DI5NFrUh4h
Rws1/1QyBI5bA337MDqCLPTQtIObsBIoiW19vBKpBNajilQPJ6rK1MdKiZy3jKba4YfzUf1GYxu5
FvmysAom1ZWH9KoojLHaiFhVHpJBCDARCFZYZ9JQXo2G+SKCDuINaVU124YBA8vCZtD0ysPwYQa3
4i2MQ/H7gHO9OishGrnM8J8SPQq1C6GQdO2k9tiVPwr4f+Vy2bz9c7m8eK1fXr/9tVwuP/V7ucT0
LZCRAThZEiiQtP1ZLjF942o2NEoV2Mc3hu7vEjdiLsCEmBCwl/g1AHV/lsulkkLdtSnAIJw5f/2r
cqksp9A/t150+ZC3GcrCPlhyZyAz/FwuVUkZ5LZKkrMsUBjviUUrhRv1mSbdWwX+Yi8zapIsuyqu
ruRFWa5ku7nOtmwThR9vcvIjwgGnA5GY4ZKNWRKSCa63JgwLscqDH8SjY7QQdia66VRH/zwlyzw9
ztptqeipGxHYTgz4eZTSHgeP8uyD23f1OjmUYr7MjREQgl9/weK1KXVCHjtr/DKL4ZtRmtelWvAL
1LncBqO+7jur2GqNfdUG8feenAnc1ZnhtDjyodO0yZ2P9ljSVNwPYmpdQjjPVuFfDRmpWsi0xDYw
Zh/crrXtDTB1WYIM3VAeNegl5LZOndfHNAoKTo2erWvxtlShxds11gC98A1SncKHLqla4pNJ3A4S
P4EKK+S1GubI9iUVBNBgtOEWdV0AHaqUTbB7pjSBzZTSbRiCDEenr28aUtMO7GGCa7M1x3ujJwao
MHnfm5H4kAialxvIkXyaJm1fjZpySYYHbOEGXZRRYbXBtNGswyJDaNdnXFqJrXvfrgC4v5XSkEV+
6uURr0HiN/tYrgEEgZc4WGW9KEXsCcBRI+dVtNdMMu122HAlahd56f1kJvJXuVK1VcfIwKzi+CIE
5w9tDk0wE9MQlqDD3G0t9OxKg6k3uONUANmsk9e06O4xMx8LIYJVZg6btE0Sl2QlEM3SRSPhbgqB
9+tliuI335dK/ahIyTEeMGdXSnarkt/tkX39ouG2UwLzhFOwa0FimsklWdKYV1S1V+FD6mE8X8g6
iXUiGUB2xIarQknaJVO467JFY+YXOVotha3SHLzM4wBDXtBzLG0cgwWIQfx+eeiCRH1hUl87MNkS
HF9MzVSQ8J3cokzH5z62I9pIbN9RjxRpgmbg4Iw5tcZAoLPQiy3cVdBMVuCNEf9nzO8NZdszp5LM
UaHnTqrbbKtmrd9MYcSBeBS4LAhsSgCHOVOZNHsh2oMRjaTg6anCWAavlciUJ2NEJ+hPxQ0y8six
JwT4ft6YpPDhI48YNS0pFUgWzdfMD76B0Upd3i7cIpzsYym+7FAv8gwoniw6k7jRiTGjvMQkFYON
E1px8I4Gq1zULeBWXPBI5oKCDXAUQxPbY+Uqbt+Wzf/qxxIG8s/146Zr29f6r/Vj+ak/6gesQA4y
mGP+MOW+o+bYAEBsjkyolJSFcf57/VgwglQNhkSEm2D1ZdX//bgFRlDF/SuwvxH7vBSk/9dxC4wg
sHZw79pS5MyPx60e/1RbSfZ0htbQrJmx5V6jCawviQq24wAgYSSGs9dxmOp+XgIVBi+W6RvdSlAe
1jMBSaHQj2OO/62Pcfx1jbbneCfcdFLJEJOJ2TCQ6WzHviqvFI23CNkpQ/spYKmMiwcbvJ4r6eIl
rzDTkZ92lUUIbP2hSFF19shTAvM844Vy86LHy1eaCebHAXCphYS4iwJCgTPlKlEl4pszAGSZr3ui
DvWtZLLwY+FsdjL6BQuYSK67UZlcU01fh6S6wbZ+LDMgBDUIu108SiNHELKM59YuzziFnkA5kl3J
b/FBfZJ2NYCVg7ow5unKH+wLgZ8e5kDqjEF/JZL5S9aVd3ZcHTgdPQkJDVGZ8WHnQXFhlhw1fcJm
N+gXc2l9m20UmRP+VoLe+8NkEvlJ5Cj25o6+TUjasw1MIglVMBZWsfaBF5pSdUHO/UMcZXgy1NIn
4CmrvUGfvs6RcpKB33qDVV5HYYBVJVYr67JRLWnaSN3CiwgXPqJAS1LVBQKL2qtLgljIKBX2sFFY
qDrZRso9v86WFXm62UN6xghrUh+dpgFVnHccaTVKMjZKNBB2gFZ7ULT7sksvKI/BqtJKrx8VCA/T
q49wBEE84al+8DxNOQwJIiPMRM9XrTYXa1m06YWVKpd+PQFwRPgGAqy8Cuv52cI07MgtOtUwLQy3
1sDu5QYQRaX9EsfFVScyQaJ9OWCQi9dztSa+nY6smm862bgah+AeIp/ttFkDtrBNV72EQ9gyeFwt
gm05uwUUgGkWWzPNI6/ImAAWy0Q8qmzgyfEllP4KcoRx8AcLPVrFBL/Vo2cYz0t4ZPFsjmrtNqNE
UI3kz1sOyxpcywT1VqCREaJ0gvV3LlejFqBRaYMb0+e0OBeqskWTeNH6pHB3OeQd5LoS7LxFPaJp
h1QariBgPgKNojk2ZpanE4edGcoWAgDAncA+j3mDRVhie2WG8k4EME5QVxK3MWCdZ9h/Lggkq4sW
esSQvHRxdx9n6tdyQqyvdaCBg+yVRQp+TYBxDSVKj0nAiy2rRhGX90d2DpdqqX6LNTQxTRlu1XT6
OsT2aVTymyhPYzfTZ/CGLZ5XSQ/Wlh7H6zKAi9H66NOL6koJcDDFcfIazwj/yY3fzB3BvUoqGfgS
G0LWggXuGAB3hlrukfV7nw/FvVyHWK97cNsifoIsTFpxi86nLHyy2gvi1QrrS1xLB8TOe8vOhCdG
3TNCfNPFYqUrOrdHJoOKUnpsq2ljxsWxqAHgDczanTAwH9oZMVISqPa2L8kOazI72w4knqI3s7Wz
khQWbiR9jjgrUA3+K4sypeqfy+IuK1/r6Dn9a2Fcfu73wihri9dHh0GqIwpdrD5/4ORk4zf29LJJ
mxGh8E/eIQxCeIMEVZMfJAnn3cGKzG1yjyxgc4vbB0DvvymMyGg+HKxM2BX6wpLTlaUKc077qQ9p
hhj1RqmaLka1LGWinoRlElXJuvtdYFzRBZ5w0RaI2mHUzDBG6VaAHR9jehOGllz7SjisrNxHEiD3
Jn0SQ3nhjW3cwvafazm54YCRXXKYAiE3G8qaNxOOD6X3ojCM72HJljxBhe7IeQOMpetU4oej2mN7
anIukPXjTM78TsrTlgFAkuQQbNDSuXEcgGwletxBdnGMjTY52EaUr5pymNa1buN6JOzZSTOwjZkt
146RyvZJ66c9TYajVbT+AcdAsk4kkplhQeET4tyJNzrRp/VomyHSx5E0enVMXBnQ76oa02iNjzOH
LCE9pgbBJcaY782wuyWbWaz8TON0ExklbZVJOtWx8QJQDyAnWN8N7+/3OY6fzCECF6z1coaG0vSJ
MImnuzpr/RUIcmZgKobAMH5tg1l5xHiKKJiWD9EeabUymxTO77QAgwI7h/wlATM1BiHtOfiJo46p
ZhOFCmbYujOOtWmSlRrEN5mc7oZwupVKdvKFlmsbYRVXppEhnPDrnL6OZqzCAifinJiyo4lBdkYy
UI9yyPoEGSTUERsGu9IXanJo/UluN0H2liQ5Q6GvzyHfXa8kSXQxITzV2YLLtJPcmN9E1rcttefS
siuctZwh9V3ZTgs/qkujndIn877uc/sc9VNZwSq1CrrZ3AT/bPtYp8MI+lgv28lRKexlVZ9voCPB
fv9v9fphf2Q3/c+r102RPufFX9cujZ/6fe1acH9YCmj6IJr/wfT7Y1MPnAcvEP5FDIc0gN5t6q3f
lv9Vx5JHU9CUF0jgn5t6+JdMV+isKObbYvgvNvVMST6sXWzqTfTVGDJpLSumWJpG72Yo0FziWuuU
6WzBKLg04ym7juTSfChSTdmzN0geeVzNtdX24mKYSh8FRR+uZL2fv5j20N6Eokg3cICjgwH3m51n
C+0eZqVnVeKULsnbvSr7R10HVaOOLT/f876suhm8toDNs5Usez8qc0XDF5cJ+vYE6pbIN3FOqDc7
KcIRymZ8ysIw2BdVOGP3auOVkpP51lhW6U719MVWKnaA6vPkZyYYZ9lat4U0HPKksD3ihpGitrYP
plycE7VDhhXRjrANoi7CSIcQtsiPbZW9kIjnFrtFHL+WkzxoV22erYABBwtJ7zEcAx+UXu9GSbmP
CwxnADXAwsw2kGyMpZeBHDATmfZRp9Zrrcyv9AKTBkAIadMawQw1t1P3NH9ML1XTg4yIfRe1mr0S
YahtkjTXvF5RfLT+MI+AejD5yNi5+kV/Ndf0rcqUXRG+qtmRdN2LEwAOSmCfYhUNfD9xd6ROCq+j
oVTJQpflc4NxczWZQ7mrwmYP0fCJCNsR+Dl4FsUyYg/Hwj4Mqrl1/Z4vTBrkmi1jIta+IW9jphWT
VAfuqPebrE2YM81d+dwXQXwxttorJEQgaILwiUwX1op12k3i4Ab2+BVweBVV7LhR+vSL8gan1mg2
OrWSnvtKviwU64sIGhMXRbQrGb/QcNFpMWHvgC3Hfh0ME0SxAGi6Xrpmnh0aVX7V9aLDDDHc9GEC
NYWlj9YKeKYsE2czsLcMAjc034/xSLjjIDah3IFVSwPZNXx6+z77/yA6ZzNzDKMF8q5hZJn16UKH
zFcm0h3hFMyYRu2A9ZF/6fynTKnBIIG4sGlFjSYWXH26q2yq8AgFHncTdah9C3WvEh1alKIa3YtG
LqbLFqIOOYmNR3vIS96KLEqOMoMSGmhTWuxpP6krU67HYwDhZfffYvxjMWbf9cliHDUJLKzub5Zj
fu7dcswYkh4KclriL5c8hj+WY5XUBfjCdC9UdRGh/tFj0RTyHXBvCAOV9v92mf9bjjVAr0vT3iJ7
9m2baf6rreSb4u2nHr1GRq2J2Eqhc8NHYYbwfjnGXIgJqjaKy7EW5jpfiCgaTBySTAamTjw//bR0
BsQgGA0DWRFpBsbGiMxkR3hT8UCOSXPBcHF0GlWtbmIgUltc581pSPzyW9kuZuCFFROm5mRiPppI
I7ClQcX4I42XDfuoM61e7VESBm5tTHfEsvkyL0bu56eEce43IpWupzHVz4EsA+OiVbuZLSO7A4uj
P6a9Wd8MTEkv2iY0obfmBQ2IjqayrE/FF4xJLUn0jfKKQzR90EWabwMd/CkvSfPcE63hhYKWglnT
aDBjErC7sC+vhgVc1AFVw9xbrvpB1vpzKOVa/1JAJNQOMpSeCT9jkXSYW1uQx4TtxOEpfIMiV5xY
67MZliAIiUYJb0JOf+AxFqTy3KrzMii2JahEItAAvq+LdLBMWrY9ztEV6oCU0iblNO+jjkNu3JOf
4yl0T3H4jo/GsJQdydSJJRpJZAlCQ99PHXTQdijmZ1XXF4eSEgm8ISwcUSDbAGX64CszosgV+Tw/
+004v9L6fQDCs86DaC8t2QaZbPTuoEPRksohYKYrd9MmwbF5COR2OibFCI4TR96IPbWQUrLHgwhr
U6sCo+8zhjNJda+ZUbpLbflOTYBIl5xQnJC2Dm2iGktZ3Bg3Fj60XSu19l0pKuM02gC3MraKxPi0
OsSlRmSvTZ/aXyUGyXs1RVhRjtmZnGxpVbc9fEpJakZvSCuGIaMfwZwlkGvHPiG/pgw3O10gjghm
2VzNNiSR0U9wOMUwihD9xY84zQsyeczp2CRz8Th3o3Tg4YWjaRKLzvHEf7DmbLjLF9RN93/snUlz
40i2pf/Ks94jDQ4HHMCiN5xJTdSsiA1MUigwzzN+fX+u7KiKyKx8z7J7m7uwqqRIgoD79XvP+U45
xfdGPFXnSENyCoJlCcyBO9bSdCKBkICpqNu2k9NuQnQgcGfAyhL5bX34WCPtTJ7caZS3s2oIOoKQ
LT4qDRaqY3ojftUyPSIoafXPWvy5FguGh3+9Fh/6/K3MvnV/Xov16/61FnNCR8MjqQmUVhf9PC/l
xC8gU7KESZvDO/LB/9vvhk9p61hRwB+aQCm0x/bfazFlsWVz8qXpzX/zt6L1+Du/TEttkJSc5T1B
whlkED2X/Xklhs021m7pjGdM5iRRJvNd2f5P0tc/IDD5FnTSXSY0CrerInzsD8JRYcDDSNK2OsvR
T7gPbadNqUqlVchzZDb1sKmRCaS3yyfIJoJ399J84m2YOs3ryMwn6wTrjx5jSZU3XcZgcZQEOKU5
Ob0G5szZOQCgk5XGcQaoYwDW6cwqxKlK9IZG7sTtIZiRNEWYzRB5iI0Dnoc158YA15PN6asBvqev
qmMCzgdsH4jhOLoJu3brWdnR1dQfAf6nAQNUaR5QVtvuPtaMIIOD86oDG1RrflDP4+9C25ftmq/3
EirzaGrYkBQVs83iAxJ+RE/EXmEB/gjgdmB2qyjMNbSohl4EhvYy0DgjYsOIABnBYFWu+aaxDlLD
j4RdPAwiRDxiPTYaj2TBSUo1MCmax3eSPk6zRinVSXVVaLiSX7tyQ8Sqsw7K5h7YakNLpey2IVQm
cmIaTFnyFuBVuF4gNxmJ3C3M4LY0qHLaHN33RGOevJhZpgv5qYAA5Y6goCoNhco0HkqZGHMrjYya
kr4gTN2CyTh48Cqq5VlAmJL8nKsS5pQzws3MLdRXOU0XHy6VoQFVFqW7L7rkOutGsY6M9IRGjagZ
UcNKgHAVdu8Im3c+3Ks4Z3BgT3W79rPiOdBwrKD2ik0JL6vR4KwOghYYjHf8a0htYWv1rv3uadiW
l8Tf0cAM65DSFWeo/xDW6rsdj2vIIx+0I8a1gN0VaYiXmLx1yWR9gO4lNOar0XQDCfkLhzRBOrDA
Yk/hupYkN9otoDDbMIEhwA7rfeNxCIGJGVDFIhmBMoUzxmSV/BLsEmuiabaZzVxiCF3CZPn9fC+5
twAdpgORi5M/PKfsJRAb1fck8b86Iv2UI8gd7aUATkCUXhU5+0KYgINiXXkM5/qeTBvOOCkcHIJl
6NFEIzfr9JXcIm28rfstih54dO7yJVXBgxpASA5J8WGLUe2GxnxMw+yxhU65mgwP2njYXZHM970z
vC8GNO6VSiGISm0dZdCMQMddVGltOzmnx8ri7sf+18CwqLga/uKL+sEJmUYFKuUuZ6jzmJrSPzrL
lJxhDz7UtXUwluoDWPKRMyYZKGX1DcVGjfIqRlTXefEuHZm+MPZ/tu1uk6kgW7fqiZjCicHynFzm
NBljw7hr+sTPye2EJENXjSnOgImVIRdMVL8q120GXGbh/g0J3ZxomzM4yZnfoEV223XFs7mSUPDb
0n0hfOcjNpnYUcUSQbWIXY4JeIjmC+nZryicL8YuPmFO/BL2xCax5tw1hdgmlbgrBUxqYdzNs7tR
RvhkpbT+SSHFJ3nhj6RiuN55zqOrpQWXi7838Odv/UAtE7k0NMEZbfMAGCpAdbdtGGd7zq6phmuX
LK+mRkEoF+D7sYNa00eNknjGKjCMm7lrnvLYT8mKaj/oKeyseno22g+n504clLuTduIi5SxGOot+
MJJqmfQzMk0TzcOTG1LU1DU4uSSkd+l4VVddp1K+5KVt3E9LvXWHImRimbBurdLSrlDVOYvcdzNJ
yV7mQoST+VMKsKDpxpdxzJ7a2vhi5o28NXtnObPh1bsmq19rSxyjRn6bAu+mXnB1oOjcFLkH+gfu
0gYJJIL0hIZpvuT+A0TK+SrMo3t4hm8JYtL1mMKiaZbZ3VZUfXwfiH92x1DI4lccowdMV8nGl8ap
H9oXpKHLvWfIfBcYbauLQ5zDMXvP2k9ZA3ojU5uWrJMboyOSUyVy3sxw+LdhUzqFnqshK2l7hHMu
KQNF723qrNvYaoBbIqDtItgr1zIvZySJZkTOM0M1sjBjHnYaLCMl6KFNh7OTdnetHa1rJfbJwKmm
NIJ3pjbJalHiAcnPSyOm+9Bp1NG3+5dSc6WQmATXP9Ui599PU/9V9Pm5pGHb/u//pb0H/z5jfW66
HNc8veOSEuvo5trPO7vK+sryrLo/l0RJ0oQm0kzxqR00u9hu//v3+rWK0O9FPpYSNACl7TKG+MNo
oG3LCVlnO569APneUz3Dp3j6/3sL/RF+6uBRe2fZ2GfjueLB5CgC0O+rXd3/P7wJEjWTDiE1lq66
fn6TNkpTul3jeJbNQ40037g2ht/7Fn/pdv3zz8Kl+ukt/tCJ7BjdhdC9xrPt3ec1AO0OKddN4b4m
8//wTpzk/3AD/PpO+pP8dMUyBM+56vgyNaYQUZB4YZ16QpBxxufIbJffDwF/+cX0B//1ftPidIvg
RaT0kNP1x/np7ZCoAenqxHjOIMhqC756CKOLOX/5/In+GSFa/+1Z4+q1iauyff3zWUO/7sdZA7+C
NF2Gh7R96LfrZ/5ffR/zN34V6TmoW9BGcmf/kNZgfzAR3LgIJzkBOD9La9zfBOluNIU8xpGupdTf
aft8HnV+ukUcLc30GUYyR5Q0kix9Svr5FmFinVouIt6b3CSz9iri9P11EmbkHZ2mKMIz3WzntPS1
+qoie2wOvlHQvR4nY/zSLG775Ed2ee/7sbNAkujHcicLt3tuZU9DCWKHywg8YS2NjafJYrmdQnJu
MstK19akoJaihwjFTT9wY2bzK1bwVysi5SGe7lTr5dtAmXsry+Mba3apYVO1nQbOBIStRQpyKVD2
cI2gvAU3PL+mNWSuekTP34NfWSEvtGkdo0sjnmCXFZB/jQKdiNPD3QgbckNHCqRc3dkDbJNYiU0q
3W9zAG/Ba8DgDOK1Lur7SlpfIy+RqzJoxl1RJIBbCGjZe7Gfr8sBkheC17tEuZeD175YeElTVWSX
lD60kNJ+VQc0w+1Wj+caWMz5WHkgxdI7lEaPNbryK9kMYF0KrPyQYKdVw8FhNdrwAVGJQ1+WU7Se
cCFcFmW+XdzqRSqyP1phAgoxm4+lbWaCfqYMSn1/wHBKCmp+EGm3qVw32c1gqyjYJg4O1q4vCSaP
Eq5BHQgQzYPnHOKCf9nD1IMjKZ+KKP3mwnnybMrzKnsXafSgSpjaXZfYl4ETHOPKuI0roP+DA+SI
GHf4eowsQwybayY3d5FSD3bDgDJ03G+qLC6WWd5Vs4fl2vTomhQujZyhTJCzTBfE3SCTpS9kl8U+
iyHCWHaPclZgEaiLp0S12UaRh7gTU7yFRnRPXwVA/ojkgm7dzq7d4br3mARgRPW6VWMfu1TlT17u
TJsm7QHJkezsyIjkgx52sWHKTTL3j82cvAXoSg4qoq+J8nLnNt4zWs0XNwjBm4vXLEePOOmPYQ53
xuzt6mC5yeApt7EFZxoe8Vwyj+4vMz89L7P6Gis/3xWUT7tmiqlW/bQ7mtV80SluO+Ekl6WFoEnL
PiPDezbcyNDn03gtkilYG40ur9Nrp8pvpN9ccGo/D61Xr7oBHW3o2jtD1l8x9Gwix4LgnxFKVbqn
alA3c0wHFTXKheEHu3CocdIF7QNB4G/KmK4a1X9YQf5AAuFRuOoyGVIkOZGrgOX5LYpifocgyb9l
JBrdWEvorrwpIw+6UDd8ed2Xil7qxgHoZ+Y3ViDOtWPvmEO8EWGx9nSzzo0oh3OZn/UmelnI6MLN
u+I5Uj74wDmzVgapvRcGhQ8EUMp47Etq7eb56xgE6Zb0iVvRBi+ZUc5rvGDNCg/TwfeWy6zornoB
DrC3v4wqf+0k2Y8Obzpat0kVA8zxj1HV3eCV2NsSRHyFHIAexFXvEF5Q2B7oc4watpXCJUN2MzsR
CE0EyLGWIrefquRpQKA8L8XACRj/j6/ly6TMPvda0Bx+aptrLXOuMxMIipY+h1oETaqHdZ7QRZPD
Lq4jLZXmN3eoF9i/HS2kVlpSvWhxdaNl1jQdnX3HJaBbiQhbaDk2ag1XrsJPlfagBdvdp3bb0jLu
WQu6jQRp9z/b9GdLUDev/rol+NCDmc6Ljz9v0/p1P23TiFwpkxU6U530+Ms2rWgSKheOLvv3T+MZ
6WmlD5NyYf3eR2QL/zEt/7O74m9My9Un7OeXUg4gsqmkEhbbNO1BRvY/79NicPDVlHl+s3AnU/Sv
7KF0VhP3+FLQihn0bZ9w/9v6QXB4Isxe7GOekKg3jsjiCNi1bgth0CERp7GtXlOeLHAj65QnbVrE
ZciTt0SKYHv9MEZu+KXl6QTylG4Vz6uvH1z78xHWD/OCkQh5LA94luKy8/RDX/L0978vA/nZ0wuD
r5eIxTXWDWuGIvResoZEBH9UelGp/OQFuBcxvaw3HjkReLFSdwVBK77pVcnuwfLkTOTkLHrJivXi
5czeZcdqJlnVCOL4mO3lqrX9N8gpD+M8lNBLw33Jeqg4GsP1VzeQr06ZXjL9yHmUrKFL2X0dI7Vr
9eLaMAxfjb53tll3s5yMPdbhZEQyCMwLXjdLdOJmJNU1xrOvl+8S0aTJeo4IlCRNVnipl/rCISU7
18s/K1/Ow+t/nTAhOuwQNoaR66q+NUu5y9lBZlfcwILc9XK6m9lhpiSJ8S6IVykiwOXGy2AHz4wD
d6oHy+rrbQrz1lvMvsXEmgm73srElFzPenOr2eXMKSDCQm98tX1UnzthpzdFqbfHkH0y0BtmrrfO
uR/u6dZs+Xe8IyYh23Tssz0fI0BtsE71FmyP5d6JTa6NB2TQnC9qvV0nCee7RG/hpd7MiWe7iz1Y
MmPwza6xFcZ63y/VnUElvDY6denr0qDXRUKky4W4ie4M6gcn6exLR5cUU508eEHx7pnxpgjy25za
Iymap9DnOIwojwKFL3WodKniG9gMmWqHa5c6RuqCJnaDNeZb0B1xz4hHZxCme9OGf2DJbAuLdgYf
1X94jlPRL6BkMqmdSmooX1TZZeRwtWtdYH2aDopJtCAGG0pEj0ptwVCyUsKvrpa5eayp1oKqJ5zD
pOYsYwMr+0Q2NXDWfpVR55nllF0KKr+eCjCmEkS0d1fo0tDVRaIhKBdzXTgWuoT0Z/D4CG2/VlSX
HlWmdMZwMzvLtdkHZIMbYiOpSP3Ku+upUEdJf1gEwdHFMksxwxDWo56ddGHb6BLXClP6KrrsTXQB
bCzzaygXdnddHGdc0VVHvdwNcPmon8lfo5DWJTW+rz35ePl2Tu+wDRFAT+oPBbiRzq+dLsin4SHN
xKafvDPA7HRNdU6oiK7iJeU8A0FSLyjwdWRzNA8KxnGNlVYbTnuHuD8Gl6/8rvOJFt+2rNAtpAw+
NpZhf1hTe5WZxtVkdrSnvbnYIrd5LZf4MFedsy4VZjDTpePMMM2F2k1eh1WP9xh6SkTPnaDtE2Kr
lSSyjENWbMaeO5D//buV4TWdHU0Qh8CL9tq4q3vzo825JWyVx4QUuI9VU1+3HMVXoH8/qgoRhzHu
2oRYFcPK7C0OYmunRLKLzKW5DAQqEeqJTc4Vv6gLvnRacDf1XfHFzrNyR7BOsQljjxbfQOs8m8ND
YKvpUIr5tVZxufdZGoni2NVE9K0R3FwtXUTdInM8suhX5ljej0k+rkK7PNetuUcV9VABvwZAei/C
2lqjrUMgVLqvIbKZSkUniy+3GWOT2tbsHw21iHWQxPU2S4ilahxu6rQNvgxq+dJ0RA61dngIM4Nm
sOh1FihzgK6/rzyRUyTz+8K63HgSG9XoQu0Oc9KjmoylgkzJyL9hoduHdZRTmrcPxCg+pVb33NQk
SGZp/2z7aNQF9j7CgqzoAvvvsIm9yFnPEU3OMmTwSw7msWmT+0LJ/VKB/AxS8WVMJ3PlI413MuKE
PT+1VrICktFYT4O6HdvTEryMBIdF8pYAqhV6hScSNh5j+ohKIJZURXltcThfV5loD2aiPgQL/VZM
/plMGx5tktoOhkNohKuWeEt3FA8ItEU6e5ct7q/Btw7uhBlwiuftMgt9sriIoNMzKO+f3Y54JLPu
TnV3PaiZUr2PqcNpHM8wkbPSj/dW3SQYCONnMS/7LGuSS1KmxG4xmit/do3dQIT4DhUqHUYhJUp1
InicIN+OVXhyfEJ+WoLn6QGVoV8TPYfu3p7KDy+mKz0WHZMaMOmO+5yU+bhvgOPHSGLp1QqCieC1
8zvjDlCH0MMSEAfrkvXrFHSLfyNkAw95MdD8t519HIjSzZrI8yC0zvN+mWgtI9utt2weCUICoH+O
uLIqxJ1FfVIQC1JaEvDWicwyGls+xW7FCjGAq7Rb40ACx7Vtt+GhiMwPOZsfwRy+seVo/ux0mE1y
czyXQBaTr85nRD1VbtIpe5/iFCBMGOHhSKCGB5LlIVQv0PzxpTFo2o7IwGoB39Sylp0aDDzLrroI
udjVW2eehB3cpYF7MAxoQ3EDnaDi3BT3uVinmfnI5WcXF9lHNSWnAd/eriL/tWnVPvFwI4CgK3bw
EvCyNByb4ZQRz1qPL0U3NWjz7h173qjMecz9Git2gkxrSY+jrXbgqM8DzwnxWdNOdNWDW9rvLK7n
DnXVOou4BWJV3zFM3bHAiT1DF7Zs0V4XEXJfdxGHQiHr85P8xvWbGaR8RC6pn87bZuq4H0bgApFa
olWj2m0+kU5aKWjrcWm9Li02pWxEjEIWCkM3dU2R+9I01SVQX5eoHWMrYMLCAP3C1rIbRuuOoe0F
T+6BphHWzzF6rBbMMEmcXY2CrTYVDGm7iyArn51KvIxByh5RuM+tNV2VE2O4MUadkhhMF3wnfILn
UKwFfqUlPjV2c0Um1Q5iLObc2LuNnIo92lCPfTVcLbhnzSJ+y2znVKdMXls5Xw6T1x9QSJIxM6mr
XHjFWuUshEa0N52YgDDHPqSldTmaC2MlKdehg3xNLeo5GfP8LANy/gj4ghk5NtZmiHCNEntcrcFa
kuSXoySviEuAsN8cWpuzNa6MN3ekhvGm/uxWQFp9+ip7GE/tZV7DOq/leJHp3gc+GjSPgbH3id+h
5mS0y+QjwyP5oDrjhKIp36uoPPpUW5rOLxO1Wgb06f8cx35PMteChb8+jumu6X/IMNcv+nEWs6zf
mFkAK/d+b43+3DKVhLlIxPzQXzAf/iHDHBg9US0eXBZUxZyQ/n0W02IK28cnoTRF/O/RXwRnwV97
pjoVBveGZetPwR/89SzmuWxHyjCXG6JLnmq0SdgI50ITmYlQWfKdV6u9GEsOK8aaBIknxlPofnpm
oEQ8PSSefSXL7pgnyZZRW9BuXDdnkBpHY/XI3iK2pWXehkbRHLsxDpGokT7wZpFuYK0KIQdaLMGQ
8+gXJpLVjBAR4izibY6V6tYs0OACZL8fU8WjMMw3vpPhCSjkpoqIZqqn8mGejSdma48kvfUr08Jt
DtbkqIz5Joq9E22JzRy17w3HJyfFwhsm5l2VWGf2rCdraItNRC8G6mh6NVQN4oqg+D43S7KKoBIH
thtuAEBIxArTTcehhsS2aeMMst9gfvhGCsKy6UyCKPzJ24ZmN66rMhK71FUuRxTDno/jVFIljeGF
IAZcEmzcC8oKHMSmIKBzyAGfCLyIzVA9R6b/xbBd5BqZvE0xH0KRfUrjZVk1yfLYUWoPvaiuRaBT
w8rvFml5hL/c+axZsHDzS1LCjiKfn9KW9lk5fDcbZ96YxowXDLjdasFyvTKMtFvJLD3UrcFwP1Jr
Yy7J8LbMfu1UkUdjuprXy1yT6NrBco9KJNk+1Ooygb+em7OxBZdNpjfY27Uy3XcCRE6FFPO+CxIs
apPAdWkdCQY69H1zE2S4OqQZzwSPNnVFZw+j2R5jdkzYY5YfkYqv29a5wlafr2RJ6ykqhp1tBm8p
ZXmaTcZKm+iSYnoNFQZV/iZdWR85hhZfkLeFwsd4NRtkRYCZJR11kCCt/4HDx7tC8oQH0Wz7ndVH
6jIbJSVj0dzDErCvrS4vL4QV6hxvP9ksTX8gS2+hjKFkRnxJczMX+8JAK5lx/1+zS+xdwz6iNX/C
00s7wnoaBxIi4eubG7DD4lpCpr6sCoQDIZ2ZbeTQPwuGxMBYmNjY6Qk3nYUwr6tJkmMOG/wQp8Pe
t0Fbj+Epp8blDGm9elI5G6xF8Y0r4dj4tChnL9/1XUtu/Rxn7JHF29yC4R7ilzLEzegz4A8jfs+E
FiWhYGg7pnz/06J2/vOoV68Bf+zXoLFkAEvfCC3XH2aKlZyGlBRscZPlj6n9jVzJMT/+7bfwfYIs
bRKWBXouVGw/t4TmKpzaJCbMI23f+vQ8Vw+F/zvB8J/JnmAc/td71EVchO2f+4X6RT/2KMZ6eovy
aR7TMdSElF/Gejho+GFcGEx6YP1jrKd+A0umPS+c0BWZFrzoxxalAWUY5V26j45LH/JvOeY/4yr+
ffcx1WOix9/DwW4rxZaod7CfBr8ikDC4Kte5jhZDNo+AirIcC/qcC5JrDWA/XtJa8VXrpfKl+h0H
BBjINCTUKo0Kaj6xQd0nQojgOnBCedmAyHLxOXC6bxO5bdvgNMoM6lmZlUt6W+bpcwVmBXvw12kk
cIogkutZFQT0Fg66QE2R4Bz5BoiemEPyJ/F3o7vjzIBHpt8jyEvXuZXOm1G295EIXiq/qKKLEmfM
vMmiPJye0owDXx73y55uaFqVm4i/qtZlDyHjyjZmdZij5BATi7QDijlu6S5A3SiG6o30ja8hqfPr
TpGjKqpiB+dkpIomSzExDnQuOpgsxZspm2SfEf1CTAWnzdB4t66qYr4q7XQz6RGXn0EpC7LgQdTe
bU4Egj8P+2S5FZ16HIf2mQCmrV00tf97IsU/D6LDwvjXD+KX/u0/jNf1a348h7jccEjgWECSy2Kr
mX//Gq8LAEeofH3uNP1ssT7+eBB9/h+fAtM18c3CqKDC/PEger/5esBOVCDtH49W+9+ar5t6fv7L
k4hTDvASo3oCRbB//GEfyDoMuFM5mTcdGInAL5y9ggJxYRH0hc5QVFi14E70hY2DHVTOriz1TBQ8
hdY/rUZNrIiBO102mmJhf/IsRrUfxv4+86bqqlmMdTWY9qrz3sWQElqdjwfcQMFmUePRD7wdB3hz
UwGo69sgY8g7I7cb7cexaA52HBUPdYgGMqyqd4VQr4QN0QhbIxRkvFJh/Z7NfropWxJu63E8TGCK
yDAuo+LWlOTEJ7Z9NiQUAjX62240g3U+GvDbhU6qyThNB92r24fvQe6NO2suTESuVX30CjSCdWnc
dZmXnX0KxVWuIp80zobouRnBZMC+tg4NStYimBkZ2KAgfPmtjRVnz/ra62LOylH6ElvyoSv9amMk
1keVOtM2WMJHjKmQEtpjr4jezTmGB7X/DapiQbpIRMTWdFuYGAHgLuVFeJEs/oNIKqK6l67EK2Y+
VC5dioUfoWPGuM4CMm/RRbzOfUvYodu+YOEgXY80jVUNNW+0zbOX2SytQXwboxtYGTnpQKd5NqGL
FxWFZXUyVXHtLfHFMJfhUSbtXa9HpJNDnx3SVbt2sS8nikmDW2Ubl5hvxtVGDxHft0hi87usTQ8e
wIBtXLTejW9V8z6jclzRxjnCUfLxHzcfVg18xF/c8NbQoeBL7Lz72NWu69n6nuEhUzQaMM9FieVf
070AvF6QHxSkpP5QO6e7AhLcKUzLm4hRx9rMvJvRKLu1UoxxwplQ99SmlSUAPjbWNR6GgmnSQn85
tmlR9wCPhENqyYQGeBD9V1VFT2ma9uumJz+I0eYGnQnXLeTiZgytQF1g5YxnutvlW86pvEfKdiKt
/VZ41XdmTVviHvd9jfS3SFWzNrtGHnFTHyuVn6bO2dqhvJlFegMWcWJl9jHSlMmzOQaPTm60hy71
yTY03EcQQwS0CesyqCzCnTzmKnWNRKE3zbt87k7mGO/rNLmL0bqqPvsyms0brtES77ggxYQsZQ81
waZRI+1/syCimovr2MZpyCQoWROiU+/PKRnB7qVZi3fPWuSm7eZntCP4pgQk/FZPo7qFfDSyyNJg
MddDYV6P2fgWca1RzkNKKRTKgdJC4QHCxuc8o4CqJJquAuP5HZ0EMgXk8oYmsGAKLLE99oSbQWeZ
NaelmJ1vHeCWsbbwWoJyqQPEpLGmu9C+Jyqq/eqBfcnz4lGAgREE7fH5MgxesJwAxTSaGMMH3oTL
gEgdmIynqTL9Yt61vvw6a94MPiVYaJpBw5TAONKcJBkZU9cAqMbG/RQBrvE0wabK0Y2ubM21CTTh
ZtGsm5yGDfma/SbRHJwcIE5i0uVC6KQAVbbYS0u4OXDfmS95sHRo5N0kpSZyaM5OABwG/dB0m1im
uQoc893TVJ7P7eWffdZEavjX++w2+69N2bx++w+Wcv3CH5stRS9tV9/E/A31CWvKL5ut0HQmYAtU
r6gcf95sTai74C4sW5sL9fz835stOlUbIobwmB/jnvk7my0uyj9uth5/h+4PBS+TfP7ur2VvHQaT
Y4ihvTHt8mksZrEbZL0xpO+v3KRtzsYS0LrOVfni2Czs9EbQ2LgMNr18YWU3hgKr9NwTP4sLwwzs
57RNXcinHt1GulG7xe7SXR4v9AubAJ+G3ZfbOvBRnbXteJkkyz1jIbWSkxedQAc++ujpQwKDdmoh
fRGr3gndbnhopHvs4uk5GMm/HpLqvik1W8aI/YMww3fshQ+TNC+MvL8uzYhHMAzEymwSsZsdurO4
Azmcx/u5FgvDIf8imbMvQWedOlW1FxGlgTmE2Q4zBX6IkV6wmpw31aTGgahOslQnIBl+OX2oUn0A
B0g2beQDjKqHK3+SL4VVAsbrM+bHrvdqDdEtPQ3ARkn17hf5TUp0HWET7tqImM8/TQnRRHRW9imL
+N6p1GuWmLuwzG7zAI3T4uQfsDu2E40cUWbVnv7vN7cZ7wDxhgcTjtwqJ5l8m9K53SSxoba9MeGY
RNQUh9ZTHHiY+ANiXC3xGfRLdHw1qhXu9z0Bskepuq85SoRVLbt2z/T1ZsGuCg9sfgK7RDzW1I7h
ZdVNCzARz278S07935c+0lXGkGzbpLeZndD/tZds2udxTFkSJ/6xqufoVqbWo4ijGF8Q5CfLi1YL
cepfFhMFGwJ+v3/oVRZed5CcTgs6e3+LU+aAmHw70jMTJfoMCVKLtHsUfakZP8WjUxEPR86E1CQB
mGG64V/RICs7YjqM8hwmAT092Ii08B9cA9DhmDTf+n46mJk62X3BJZ7zTZBMz5UTf3PpYgUGCWGF
qBmANFC5XKN/tRErwfCQX5hnfjUqjmwidPezb4Mf5IBkmeE9BrN2M/ULEbSS0g7k71xwxCEMsMjS
SxW4V6I3cBTM832+FN9N+H5b0JdqRTjcsK5SNtTBSN4JeXtxLGfH9Ocui7rLeTAeHCP62mXZB9GE
xB/1xgVBttemDB6nIrmYR5BHSCKfwlyC/2+Ch2ByL4AGMsK2QnsnK3dkBOVfFxbyFHd8RBO+rDKI
wNAFKZjc2HxD73E3NuTGQGW2Aj9cee5wgzX3Ts58l5wirGnFkRP4mtP4KYRk0Cti0AznLZy7J89G
Mlo414Pt0PBcDrLJV5XJzpu284vTe94+CY18lcZEH7HM0ZyqDYY6mjAZTEO8HuLmpWnzk/RJnJPW
kSnxU19ExGtxbNRThiPilnjNDWuuKiO7a2PoVjL3ibAnJXBR3t7qOD5nMRgKsFztFsErREh/OSw2
Q6OkypNj4VbrqRU7z6Jtp1dcVilRQu4cziWKxJVVd+auH+ZbZK/0Q836YHIJWJNu5ayukt5/5yjC
veWqR3CsV9Kuk7XsZ4GHu4qwZrHENdGCq8i8t/xil7lRsrI0VKCtyxN0kOyQDzQGsw6ta96pteJ+
65fwHnzrm5szcA8t7wp3VLAPQ8PYJW12R9+4WdVhKtaz5b5Z2MK3osgoAVS1naUB8zO2UCh58y6N
++9NtwT3Sb0wP2vEQxEPIPmEG79XkQGIbxi2ZcsaEcfP9CxvGj865I73fZlK4JzAilYR+Ng0h266
jlvH8FfUDvlzHhpueLUQjbVCdVlusXle4Dd+8GfAY03uUtEv5VdEBv62sge56tLlJRh8VPFD+8bk
p14vfXMmgvw6QpIsneDr1PbfRU8ELxKMU7ZY2zS0cQN3zm2fLlf4ykCbmQ01WltvvWy6NDFVrpqe
eCFgZwC4l/5BTuYBqMgpK5OnZOB4kZJAyqdZXjBQX7X1/JQ74y3J1WfuBy7C1D/mqbhG5GWuYGIi
swVI0rtDjw8N+atkAqxAdk7JhW1Oj4UFoM12zipsN5XPGc3jHxPZzeRmKrSNjs0mp2ILqCZZb4Vp
dXi0OLDE1aGoi0OTdMvKzVuWHQXJTEkA3wIViBIkG6sqOS6LZx6NdDwWiYpoCpUA9ubOOjZxGm+Y
3vfbUlbEwZhQs0cMmqtwineuxTTgn6rsU7moK5i/rsquygJ058f8506kft2Pogz4s6Xzg6li8Hr8
wiizxG8a6YBzRinsXVo0+KMDomhzYP7VHB+pnQc/KrLPPiTNDyJ3GLLp7uXfkC26WlH5a/sDApHG
o3mSNrV2Iv1akeVVZpeznl7nchl2FTXVhvjBLy5tstLtny3aZulyy2aMoEJsLZpqfRc+BrrLNut+
W0XjraYBh3aZZpwc08dcd+dQOST7mYad6tg5GQccWTYPZlgwUOrLnSOaYB3pfh+lyVdDdwCF7gVK
3RWEHBjsFvbBMW7UIQibUzGyyScyev4/7J3JctxIunRfpe3u0RaYgcVd/DmPTM7TBkZKVGCe56f/
T6i6uim1qtrqrntXMisSzEwkIuJz9+OZXZzyyX+ZtRbh16uRxKu3KU5u/NB8qx39eewnY+m04xl3
Q4HHJcEOXMW4HhH4bA4uT5PwXqO2jI55SRmoPjAeEGX8QGLulZLqeQ/7ZR80WrFxPB74lfHaN9mV
z25zctw7v94mNDdWPqB7Ox4eujB68SJtN4jiqak1eXCNcuU31jLL+yudfRaDqKtxiq6Uab6a1FE+
Cr8WmD5lm1eLyhmufOUPLyJjb/GYYsgZTgV96HeyOteYJNrkhXN5teBP3DYNGVec96vUSmmYBSPD
+dLwHgIrWBR208Cr9lVJKMDQQDvRzjXsihbXQBB166GIb+EYnBwBO9tyQmTPNN1VBPVrDcBcazT4
3muxrfE6LO2+u548H9MOBiYRUAIe5uZHG0XWgYkGnz3JUlvOYLrrdzFPECyFc6K5nClU/DY6gb/w
OvdE9pOaU/8qK62VE9tAcQihDlJRmnj62Wz4Wmt0Vqmw+0WubKtMrcalMzCdSROrWqQulLsoarMl
AzJutsi3F202M4xy3+xS29Pf2m66xgBHil3bMKabwaWV3dXJe1Tml0mVqrKs3uZ6Fq9CPjn2WQ/M
8hYVUeC1cB3vVGk6aJTiXMbkfrPxMWya97LyUKUGKh5mxykWRQxpf6pxYiVxu+8nKgL6KnnqIpym
MzR1RU+9CRrLJIs87jKIk5tasskhcjCQAd2bBvW2mBq+8XkcsaBcLOg/CcY+6qTFMsO1VfYMiabU
vIvn/DUFlkUcjCYRg7FTmx/wCJ0oGd4bWccuS5R72ojf40bu/VBuEcDTheNhrG2iu7LTHqLC2Ytc
TX+sD/h/+0TIC/7+17xJH5yEHWg6DyfLrI+grs5dj3JaJuNNiscHQAdGWGeVz8Ou9Iu9Xlsbe7J2
lQwP0hIcSibzWKbDcWjEtYCesunmehXI9nlwMeo11ryJamB0HaYyCq0PtW/c2lF5TKJ+R01lxyvM
uj2ElIsl6rMs3Ute9l+aCNKMJ427pmieZF4dAR+eu5BWYDnd5iIlk8KXPknDDXbYJ5m4W1sWu8yJ
vP1k51unH3Dkuu3ZzH3lRzKhjcs9BvKbTOuJvQjQX129733xLMaBSL5I05VvdLdDaJ+6GqV0dtnh
53P2TPJg53ZsnGkcMSCqLjsvP5up8zp7/nbQ2Nb4wyaN+pccXbWxxbe5oTKOvoX1TDwiEqCRsRNp
eXYLW2Bapt6QGhuvsHn2jaZ50KxsXtdOevQlhmM/2aOocKDQ/SPghovVp8dATvhDC3keAosZop+/
92w4FlqdUlLub6vCv6rzBCfeMG6ySujryNYfI707jbr1ZCYaKnp8N6uPkDjbewnHDwDOGr0V3qn2
NIr+gif9SiQjfiaVkp6GNwNjIuMnGfE9gcDY8lnUur3JOwrOKy97LU3zPPlZy/iwxgoUbxPOdqvG
0R9dRxyqpl+EIQz/RrvB0acvDeuetD5ut/k9Tt27GWT4KberEsQsDYRZftaUHyKoMHrO9qteOlvX
CJhA4Z+mQcOifGQ0dgmUB8OQH8nU4qDLCwHUeDrpyHEbXafyXETmFhwYJvg0LImoYbx0pNg1Wffc
DNFdlc+nqZP3Qd3ssPvJxTh4jzlHcV7zvZzSp5ZKm/1oXTP2XFHduzRi5R7Mxq1tFZehlfeRmJuV
5/Q7LZ237ezhjHTgROq7Wvq8NfoF/gKVamzt+864Q/CCVcd4l0pwhcbX2SqazrmhHdFZA2o32I0O
VfRoZ1HLw99xj0YeYDtgeLYJK2eRVbO7iLyeb+d8qiIAnyBoAO9O5a4eYdDK3L8mLMUhvGViPmuc
goweioTsSS31oFaYI+CbxV/GCmMvQnSTVWko0LskPNTuOOJHqzHFSFD0fn+A7sv5WZu+5TX8Hb7F
i4RT5dKMme+DGfLWdpo+wXEzoOs59coNSelQau5qiyx2IDZn8jToLdVGld4+x7qLSRxTmIaterBv
GgqCDri0IOAPqUVYnfoInZwu9cOzrp0Gsz70ZXRNFcvGGuM1u9DHrApuZQVxoqJpyeW8aaQeHdt6
9RwMMHlVQ0utE0rvE8bM9K2vzbZ97+OOua/3YgXmuR8mFpkIp3dPPbe9oID+vhRiWnlu+MaT9RG9
cBcM4UXY40cQm8ds5m3yw2jNjQTsQENdne2jG2XnIErNpeNmBBSSjVZmh75jia4nEu1OHVxiYeOn
LW6pHcI4mM17UAgne4x2wK5VU88+84eFXYhkxclKciAzb/whu2vxFPUFLTZZnt/nKabEjLplEQ17
gb0a8XrJVmhrjNW+DfytloR76VZHWbYkDMxjmsPoMFlpTW+TeOWXIJ6h+8mbMWCnMNklzMFwXWMn
tqv2Iwv9k5bny4abbgS+0PnpF8cUctH4+b4Q0W1txGuYckvfigHJZs4uHMVdk5CvaHPA7BP1QJMr
1zO+HLpjVr7yv3Tg3NtY32Wd8dx7JENjfdzYGpF+QlJsLRC/cmZ0U5o8p/RNSt2WjDmMtZ90aiyW
7jU6rXw/2JrefC16Sq2TVr+fBgox4vKpgFq/MjNO1VoffQ3qogeIMnTrNjSvoEpfBdJ8xYLurCMK
gazA3cZ+tPcj4W+kDI4QTj/Kyb5qS3AaPN/bk2Nws8hisGlIp6EnnEp9HUyOdymQRHKL01DqwWNt
xQ3tW6eUsdNSk+amaSjfCuyQgCdUq104OS/2EE93Pk+aFZ6d04hXcqUNxdNozzel5rwYRhyQa6ie
Rc/2RTjdJoGFtcwbXrUX6DtfPXoqYFJ9wdlY1kxHqAM5lwwSEkSzi2bUxxLv+MpwAINXdfaNqFvD
FrEiEse/JmR2va/uZDSW23SGZ+saWHjb7jTXatW2redR54sWC4/ip9FnZDNZV3oSXRFTXFqxFYLf
mZtTGdTKO2PS1p3Kw8D8wW/SFxGV1k593R3Mags/ZzVP6t588UJOsKV1ow9jdPLNHANAuZeluDck
O5rC5sQ8dFspipXIklMlBQdfhCVpZ9/I0KQ8y421NL37pC0OURsfk55u6HQY143RPk96deuPlXLh
uVexLq8y0q+pa00Q4uPHKvVfrNG89XgOH20TqluHP2pjtNYLjIu9T0/6EsNWvs17frFW6ZtCj4jQ
MordxSkppyYvWR2llQnzbtRjg2NEXWv4T9PJMihLMh1tbehRwETj04nv+jel+DMy4seRtiowhh8N
HpUGd2brOMR+PEDBbxOjYeTRJS6xg+XnhtiRb939+UWUCP0vkfr3izi6hYKupG91ivtkF0mCsTah
c0QXMQFrPgtUU826b4f7P78M9pZ/v4zrUGkvbItsw09aeMDonlOAYONufBuKB838y93rPhE9rFA4
oni7fn6vGn9iJO1k6SUfuNF2XoC34J+n7198Fr/4+13c77xDvFG2973x8tPbJF1of6ZdZRfmk5l9
bf/DbfWHuAYlT/zbx/Dp/fnps7acRA81HqUXK9tq2TIhTOyuwPWPH+T3/vyl/OJSiDQOZlkLGrnt
//RRpJ4U8zAXyUXEOzyC0PIZaUsLj/ZSK3+b3vzhy1J/9k8v64ePRd3in942oUdZj7ydXkr8M7jx
OXe1K56pU7/56y/q8+f/04vKXVr1Ou+3C5HTyMmYhRvWEbUUl//hXvvF9xKqio7LgdXRNL4X2396
UaaNTsLCm18ak9LFt35c28GXP385v7rdPl3i59ttbmz2SlQMXXLvLQ5eLO3/cDsr+7JrKSs15WE/
fi5xldqtpRn5BcEDpCHRpf/DwwvTKE44pj+ksVRl2edPnrAU+3tHLy6z+za4V10OQ6z9D8+uX93J
3MR0OFlALHQ14/p8DT/MMGjBarzUbPymJal53b7pEerLFZr7n38iv7gWOqVhGGD/XZ3504/XCgOY
2X5s53DT2ZOsI+wF09qtFgV7rNvvl/qvEG3wePjnQ3f11r79owj26i37+N//ufro375yH/9cDqt+
6tPAk+Ep9xVsFBCOP1m+KGtVcjMyM/ZLngC/Dzz9v9vAUpCvDQOU0HcQyu8zTx8LGQo0Nl2wTPpf
G3nis+Qm+NfjDu+l67K42T4PVeau/BU/3iRBF6G4BdF0ifJrc3JVuwxn7xHS6Tgbw0JMRrXwjfzk
zektKLf3qUy1pUt4DIN2ai6mqAGr0PqHJvEvpuDZNWrOuw9kLu38x3muHsyBpppObirNgbnmuy9p
CXbVw8601Id5K4zsVAz0rPaoG0jZ7HVFFS5TFgNGgsmjQwMd4UKH1oagYhiIK6ww7OckdR/lNL+T
tGXMl/g7IHUPSdRe1751FbHrBCwCHimhKJMc7lXQt4di6Iloas1R9zg0jTjRs7HgNSPleuaCuoV9
54Ub9jfBgi/NJg+1p67kgEBC1FYOJE+iqIc8qF0XRlXewIWkGokk46byUk91OCx0S/9K3O7SJLRw
yqia7maIi1GP1KaXzXKuSG3asQnvy7GQ6ugBXfua/ZLNibF2aGmgFk2kB5c+2VU1YObRxmCLdyZe
eYOadPr2yoem5w3+vDD17s6ZyoITik0jLnO4pYxqi216J1sf1yth48XoMCd90IeBjR74lCpccTYS
IdHLtq+ZxaKkALGQqbUKCmaQFd4YTvtrtMWtSMfdPPRI3I2Ui1jK7SisfunOAVgMW3+w3LJfYpH5
KGObdGzjL/p2fp0t4L1Ow40TBt1Dm+evUfpRByStLCR62wJ52+ECqt2YQ2G+IzqircOkRPJ10fNF
wTaC0Rrs96fJcg5Zyawzs0mm6nb1gE58KzPrVif/PZTDvjPGLXH0YBfZgbnQomCXN2GxlJV5JM2o
0ytcuvtJI4E8Z96j1tfewqm0zeAbWxH1NDDRoucFw372QQ+D2Kc3VeaAdDSagapyG0VQJ6khuc6N
YGN29gaoJFHDunucmQuktvGtMHnPgphzj8cgPkgeJjd8IZB6PYYg3cbW2yX5/NzUecavD3eM80C5
M8/Kx/aQdS53czw/9+2k9PC3dgLnbBtHP45WelS+ONHQrgKTQR30dmaVdXrfWfVDyDK7KDtid8JN
jskI+2vGZNG6LxVAkEXdOeeaFsgZUj4iNnFPbdyKaVpmXfdqe/KWYM7G1fOLiZ48lgLJ25mNU+wh
2VVOfpqT/sow5SbJvyZkNjrOF+tmCLZFNKgALK5BfHnXEREGjypgnE44C1sshhSnjHQzG2+Zch/a
ImmXAkOinko8f/107yiv4likLuwA9x5S05Hag5fZC890r96YoPh05Xf0MT7SP7vLfOwLjlvtmepw
Awb3aTzjlcQ0accWkchev+c2fnaVrxInx1UbOTe4vr76BODXNFBfFwEDqKzRwXtKA6BlkNuLVHk2
PeXetAl5UhPj3yZgCNTBuNoHfSjWGWUGm9zx30eMoAmG0EA5QwPXDlbNd7foVNGTENvH0mus6xlL
KfEazKXUAsR3Za5/CSbTYP4xP8xFcTJn+a4zs+jSbtplga+t28S4CsGcYcYMm82UMlACx/BRlO68
7mDTEHCGZpm1lQ8PFbe547vgHG1gnYFVn2Yd64GhU5sAEDFsb2vmXgsxYDKcrasR50KR8SqjpFqV
LXqsPWvWapJyFYcZjbyu9due/L9Lvsk+6Y+X/Lu3/G+LDwC/vzCfqZ/8tOyzpIIucQ2f9V9t9D47
vaHgG/i5OS5/D2P8vuyjc7KqE475bub+rHTS38TSg/jpsIu3dUzlf0HpNN1/W/bB9OuCxKKB+cyg
bffHZb/pJtvuE0+jXjOLIVPs+winQp46jCSUbpO4005TSg53zw01TfAClMozIPcMSvdhBaHzFiWo
VJoQOwuy0EonqpRiRB33+4CEVCAllaI6Exjfz0pjKpXaZCE7BaX5IJGhMqVHyZZ+U6VQ2UhVDpIV
569mGZjixldq1uAxy6zj+kmM7rcRWMEmHsq7zACTrGcswslcUffBV4hA9LPVld2KYpZVloBJiHGK
Q4bWNlDgugXB5+2QwE1lWIpK02UHEhkD/ao0AC1mZqzaCq7ya5n22nQTD73Xb9JRHzLmxarfk75f
UbLGqyJQv6SPvgBuX+qUhPaqLpSMncvMylz3qko0UZ2iqlzUp/AjU3WjnYi/tvSPBmCuUT497Fbt
Vdo/GNBj8XcN/nLwye3zRLlzVZmpTqtprOpNRzADa+aRYNSKntaNpjlUIn9HCo2xs6YhsQ5cTjRd
OZll3FSJxGAVuiS4puRehKzmbkcFzIjbnhX8OcdrmEUuUBsMKieC0NNSc/117rJ9kyXsneKq0Ztt
hjKX+u5htINn1xcsMYk57QtS+Jj/xV7vWB1CXjdDaDL6gcPAS6RwtPl7njwJ6baPmJ6WvH0LT4dO
ixKbXTiQ3GOhZ+NVYmJD7z9a36WAVqkCyXeBoP4uFuiDhzVmuhENlnpBoIc5NNpCXYo7idgQKNVh
rs1LhQyhIZRQLXhjx+4eJX6b9GT9lG7RI2C0XnYBicxM2SDPjsRhZXzyA/pubHfI2/GTjRbiFuF2
QBvJlEjio5aMqCYl6kmNilKjpoD73sF0rlXreImiiuQyo72M/YAIo+SYEV0GyIPA3IhUQyH5R4x2
0ysRR6OVc20qYcdB4Rlnd2ui+Bh440HRBouWqscZTShT4tCkZCJTs+6ibnjPNVL2zX3d6fqShfFG
oi+V6Ex5SZcVupPw42EVo0Q1KFLRFMMAR6Oi/eM1U6KV5jpI5shYJnpWqIQtXUlcFVqXH2DPEtmA
qjuz3aYkQnhPBupY0WhQh8cVkMd3sxS4AZSOJkPlV3uq6kGBaB5TJbgJY9pUSoKLUNsCNLk4y0lR
ItKFSq1Tsp05BCdfCXkmil6a8r+h8A1K6hvqbO+h/fVtfuT/nJnQIwsCkadR8LtWyDRzIl2vFMTw
u5qoOfIlRl/M7RgzmFIcccwjp740KJGD36+R6Lex6b1iSzpnnaUtC7RL9sjLFi2zluUzMY1wYWQ4
H0AlnDx0T0+v0pWupNC6Np8jtNGhqZepEksLz7oxUU/xo9wYSk6d5v5sK4F1RGkN8trb+zROhGiw
kZc8xUZyoofuwc1LscBRetui2hpleg5RcRPRgVe3IKfzWWTovFamTkr1OUL/HZUQLCcdoi7acGpU
xwqtmJvkUCjxOERFbgKxgYsB3K/rnzOjWrG3Szc9ynOBAk1m86iZSNLVoO0tNGqBVt3WJODQroee
A8OcnDBjQXSbb1olcrtZdTZRvceSW9aj9zRDD6dI6jUBZGVV9r5FL28scODo57oZPvbo6Ta6OmXl
6cJ2AuhdDNRR3hMUeF1J8TOaPGjjE8G2Q67E+gbVPiySY4SKP6Lm+6mk2HviDEfT0zJG8bf6aJPj
AMCGcoxwBPx3HMEmwhaCbcQf703+X4Ynvv73cYT6qU/7EviumNEZDf+D1fppX8KmRLVGAJRTg4V/
TiMoSCacafJVUwHh73b536cRHnYulxG5S62P46gGir+yL1Ho2Z/GEaqH0nUx5YM1t62fhqJFCRfL
ngI88al5T0r+zmjsY2Y1N8kINGnoLRwYYjFkurWLpylmmU8CBDpgYe3YBVBwygrWDOfyYtJuhQVh
IyxBZA1W6yyaWb9pBZh0y+d35Tz1OQiXtLnL2sBqnN7VLj0Lc1543KfjWavoVoBWAsVj7rWlxlK4
cls3Jj9uaDBnhupK5Nk9MAD77PZzfooNHIuFw8BEBtgNjNTdWo0y/PbE7B162Viz8vswVzAijRmI
QHeukPEDKuXWjAwwTVjZx1yFj7UgWpUa9q4wtTtiZRAMquY8zzM+GBuEjY/VurK7aUlp2xryQqyf
dGl+7cO32iTQL3dFEcjVgCiPWbpT9J0EmGk6JisDyMq6nOI3xuklYx7s2u1wQMbGuSt4QTWt8E0N
b15zGZbka20+da1+GC3v1Y4dlNPYwl1si5XvkvKjCS/KyMtYPc5jqD4Xgk/AKEW3JvnAR2K6eLOk
bPZubYEPCDCESOrifC38QgHuTZN7HYQXk5CODlfBqAqkK7dHDnXqbl0GtEykCXSCIBlQI4V3MqKQ
AUJkEWgImdrkt2MCzEfMnb6uzMxdes2EacDPxjXSVLWWVdvfyVZAfdf9J6kpjmtUbisRM65y76FB
vemazLfZxClWtOu4D/1VoVJfpVljSLZKzGy9stBVQAx5LXNdbX2TDXMS6Lm4Lq02v6PSmwvXChbP
5NiqAbUTQDB67Zob/M0vmDLUscxpV9CfmdOcaxVf0DwrXmF2+xiH7oMq02nTqLBD1XgBoCf7PeMr
ygbTwNUWOaBCSUnQsNQcM08c+jh+KclRzCpQYbN1KUhYVLgkFo3wxKZV8YsiYTdfN81VG898ffr7
UAbvVUivSG7iIQZOdYc4hOJgdE8V+Y6kauXOI/FBcxgDtskBC0IaxJH2Qx2K8MBK7SwSEiP8zuFU
ofMuR78o1q0k6ZariEmPIWejEyekZ8KEh0aZ3Ap37lNTxPWynwmxNU2eHxqD8NuowUkLJ/Ryqvrg
JY5N8SyFCruEYX0dQ1NZDCRhRhWJ8ToIucqjK6koGJVrtzEKQg7KyRsoT2+j3L2s9saegQ7x7u/e
X6PbC+UGrjyWqu/+YOUUrpRnmMdiS4KmuW6Un7jAWGy11S7GaExXIcdt5T1mxglWT/mRNUE8bVIe
ZdpCV61FiZjLf2jYmGPpczDoH6AbHu26OxTYnX2rvuuV/3lusm2oAUXNs2Be5JikgRZjSSMlm07h
dWZ1N4kcHj1lq8ZeDbMClKRyXGdYr53eOFhYsaemYQdLJKZSLm1RFCYzmPGUYOB2lZM7m7xmYdTj
OahBiuTM+MdBx0tSHgzlA58whFsYwynTulhFDIm+vK6oY4G00rwHgY0nAVN5Gjbmwqo8b53H2Wuj
nOeB8qC3RnlfhNZx1BgyUm01AsIiNvhodjEcZmw2MIs4Xq4pdD34dlT8d7zwG29IBcr+eAlX44VT
FzV/u7xHTfmrGQM//vta/p3qwDne8w3h+Z6FJPdpLSf1xpKt1m3zOyD29xkDnmmfnwG1DwqW8id+
6vfF3Po7pXr8mAAR8T0y91cWc37Pj0s52FfKo31ydkLH8scm5LPUVRum3bCbkHTKYLsxjpEV/geB
Cx37h2soK4AHXglOkscxizidksA+6ZoZsRW/TKfxCjvkPg87f4P9IK43bjZSMj06w8rNp2Y7q/iU
o5Wc1fXWs+8MPM9QBFvfObu16zf7XAbVuas1r2JSajrVWRGTxrXFnERiidaZLjABhAs5iHKXhFm2
xk4BanGs5m2NRWw96HR11KFVrZtiiLemw0kg753r2M3ltkwyseoKWW8jTabYQuoi1rZ5xhp8l9dz
+C1jHr8xfzNkeA0zcf83o4af8q+1XlrMOcLvbg7SWxy64MVVN+3IXxFV82bWdLqQx/DZLPVjOIbg
F1N8TAnOSrOvtkxTTkPn6Au31a7oCXy0E/O+8pu7GpudzPtHB0AZlM6KuEdknSrKmaRVnbAz7nUp
E9yvXbSSo3MEWbfwBEHZXhaM0EEiCux7czEdOJG9lHGM1TN1Vay5utSRE+/8PDx1o3gPnWQ6hqXp
Lq0AMpqX6h9hSkZ28v31xExh0fqM1qUFLrEdR3ubm8F8rKby2MM9G7ME3DREgCy161VkziT6y3U1
ROdssM11YGKPlmFJt269DwAmEbhPKcW1if1oyb6eFfKdgFXejITyw+yuqNtjaJJU0ibhfJl6uHJT
LWlxMpzNWHKrjnq0BkIviV7nq4z90FhW58HCkK/HuM+T1qPuxoMXKGNbwfiIHo4WPtic6Wse+AZM
cxYOMbXnCjQgFd2YbhP8i0UqPiyn+6pjYdwy58iA8WaqxYeW8Jsy96jmGq3Ixs7HOcnVtYOfxPq2
8cSXRAv3s6Ndtbr70IbaNg0Dh7BbTVOKpwjJJwSOmz5nmhwbq7gO1soglDlDssN4u/WG1lhVJm88
/LxdI/onuh/J1hGjd33/dXb6cyEwRUb1eLBTcT3zS3udY7SKEFr6tiu1N6PRPzRt3BfWfDIDbee7
j2PwWnjzAfeft7Fjua5dG/aszlRofO+RBahhapnvJCfbmK5lQB+aSbER8X3/BVXgxWTauaoH/UQQ
SMLJu9C8OGWU3oRzB8trrjZuqN17Y/NgJf16lHh17RCkZc/kDeIUbUI97vAi2QNXIxXe64+lFt57
XvbAesUmnvi5LL8Z7niofO0wjmJeNLFzqGJ/m9JsQwqvWcEsZQjUWe2tNcQHXt/RjsUr4FPcZWbK
hKpgCmaYZXyVWWOyG7XMeCkw0z03XhHBYpymAL59kNyOAZvDcSQ6apG0RYtqw1WlKVdtqjoMWizf
laGJ1cDX4tSThbzqrJnRZsp2u1l2paO+YTqjqEXlt1CtqsB7J3snIeg7j1pjOOu+ca6CkIrcIC17
wgJ+w81sqkLjLj0CtyUlaNi3rRA1856hWsm+5BSjx0f8lndZmWCnHtjw92WDuONbz46Dxd6hNq8D
nemqcjgPg/c5KBkYjjPEycQp3i0JzNEhXMpXjvGkZd8LWYJEiKdkKyd5ijPSjlMS3OBxe+9GfxkH
SJUxB6BAE3fIQS+mWb5S1EpRWbzr4/YbYdpLas/xRtJDtkDdejHiDgq1+8p5bUEklsOZDjUgGGJE
Lc4Hi5jJWhPY1CzBtobfG1fGV0ppxm2JHTHO+xcSt/iVWxIIUffatNamrPmYEwAegfuk582j3eVP
tl6QgR3juzGdTrk/7NqKgak2xE8ynPbRwFd0HM89ra8ygypLfPW2beeL3TgvY2hfFRC+PKt/GoA+
gso7RC7xoN7ibDcCzeDTWOdO8jpXEQ2ZsbOFoA/snE4xOCfRXjZjuA7NvFjGtnOnz3xqTcqAV+bu
PYrroSUXvGwiQUNJeKwCOGgaWjzO8XZXxPLJnipmeKLe2QpUB/tT60Y8/rz6LHRPhEt2dSI5wdkv
ftmvgrlYll5CIBD1MbPYdAcZhQG0E3qUtA7RriP1wH4yeBNtcuC9XkXziPBm+Aerm24a+gTJ4jaH
WGi72nZeA2Y8PVxai5MUe9QVisK8adj7k5AMr4U1fgvEYKtegldhxQx55uhMUH1bBdV9lrczqLNi
11P1sPP8THnX6bQwDPIG0asTwKKm1xGLe9Fu8kxwbLGs4RpxJFx4BEfWiVc/05MlN5rwLkK1XA15
VR0b3ZXLFhrrBrDhFyDklI8LqT0PpcP9MiuvlqCA3SQc+XUERrsyIB+SI5yM8wAd7rdZ0x/6xX5h
raKMxnDYhZiKnPaTy0ZPbB1IRaBdxTHG9cfEf7fs7actIGO6SRb5f3BV/nAJtdP6tMuZuIudpOMS
AkCx41668kIV3p9fQw1W/uUD+W6q5BqOcoIw47GVlPX5GobRTdngR/IiCKh77mVuMfreA6D/88uA
Kvq3y+CmZACFwQrjyU+6kyxignJJLy8dY98qDtkY8j2sHjrreiDs5DT4/e3fzG//VSoBUPzJUWL1
kf7tit3Mxy8Ggvzg74cIw/y7rSPhUDMM9AKH5adDhPV3g05XgpCkNS3MK/+cCH5v+ubwgHcJP57K
cf7zEEHxLOcK+FH4l0ybrqi/xIb78dsFGoOyV1s5WKHDERZVk8zPt2UbdMS159y4zguoAkl0ciUR
jX5af3pnfvENMzzjxxtTFdBx9KGa3PT5NtvuTxfSpEhsWiCGa9t2kn0rhWet7bk7ZFEW4ThCVNMG
V1uhjV78qTtVSfngGrgDSgY3y4EN/Dqp9eTY17bPvsIXS3NqUfNsyNjBUD/TYVEu2VFht1HwnLBJ
7+A/eUtUgms8tLCIXDaYXsV839N6VezMw5ut1bGCnUrlLVMWYuMroF07kx7RTeD0G4Cv7aqjL5M6
hZH4vPWkeS4xis6H6mw+IxMUAF3tO9Mwb7VsvNI04gGqKgGCEOu65+9rv78agkwineoPgfQQ8TAV
rIwQXwXejxtbmzeD1T35HrQm6b7KbGKVQjNIOjdfpVN0TYr/SE6EHLWLwOUH9bYJ4ayadf1QOHIX
KX5BGoZHVPB3gqvJps9gWjs9q3laUM2tdbJYkLolWoN9iCdpv5yt+GJ59cabUo41EGKxgb12rv5Q
NxL0c9YtgNXfulW3tcGiSwdGZts3GX8oEDCipBY1dfadhlFtiZXCW7r+q99ma2GOq65iA990VrLg
1ibYxImkpIMKhfSbNzURUqN91vrOJjeY5QjHzlJ3pytjwC42NRaON53qIz29rtIw3qDpbefMOpO+
kERRra3f896Gqr5cc+yeqK3/mvf2jqHJbZGDBTTn5pFsGAeYBjaE2aZ3zdDtdTvpV7UpvgjWiYUc
psc0iuztaM4XY2Tq1oQx5RZz/VVPja8GG/plMuo7MKl7xvIAxYFuZ4l9kyXeCquYc3LNGXh1mn+Z
4/I5dJuQk0Bx7/RJvLIqlyNBR2gMbIVhBhsPkFu95hZjEmgNIUD6sHqDdSXrzexpaHC2M8LKEiNS
22IyatnsrIFUhnCHje4NikvOoSFNbcZQkw6DRt/Xlvl1EP4+ssHZzAUdFaAd+8fENvGjyUFnH25H
8EU7jlnESI29SfwCFtxVKyQqXvUWONGtnmgfDBYgAPvNTcHdeD8ZUGZk0zJ2HFbFQLeKltlYqYb+
5NVpsVJtnTbY9mXf9NE+7eTw/9k70542tjVt/5Wt/l6o5uFDt9SewYEASSDkS8kJUPM8169/r2Ug
m8HJ7rSR2q+0fXTUfUJSthdreNb93MONGVoVF4f81AtweqvyHop9MfF1hCBhRHe4WnVd/XV0wfx7
XP3bUD4Py+w0MlmyWhqdg7+vY0k6HmNfhyTn+3OCNpJFiDjH7OhlkbuiTfpGufRrc9ln9V00co2E
iIMPbv61K+f0Bo59vVxHtbRCML3puVyMxhBNrRgDkSH+Fuuf2q5aQYk7yaEgxAhvcLCdqgsZ1zNH
R/88avOOdJxW1Ral4meYNOTtUrPCeiErBGB7rf5NRLEhrOpmrlSWE73Llw38riHrbkAZcGcf9Ku6
lu3TXAr14nNGxK6Ht4wL904E7/7DNvqyfcOiEWxjHU6L0OKD+ojj/1mlUlWVpqMxGs67YWpN9KV7
0n/KTo9D5J2b9Dqfg0hMkT2uMbOFOrnUjn///q+KmIe3FyazuJWqBiYCL9++dInykMxmPG+tTe4e
OzL8i/4bQUT/ADzteh+0+LIl6OK6/LqKgRJqYGffjudK8MHvqwn+MY533DXVP7zPy9PvYTgZT85A
BDXwdF/BW0Wh5waO0vK5aaxLE0UCUc769e/HTN/1O3v+ZV69SePLcqVGYtAW1RUNh3m7km9tAvUm
2WnCHJtcApxMkoW6+nJmz+LJWXsaLK6quTu/CE+6yaqclR/qGX9xli347/zq959PcKefl4zbXyoY
IjofrNAdw3j1+eJmHJV0kJVzYwKR90Key6fKtXeCeTLC5NkwOblRlv30rFh0K8OYJmt/ol0QILTo
JvF0+1H+LSRlyrdfY9J4bje7ckPFv/pZRSoCVZYpFaG1US/yS/oJRauYBRtwxAz6uTr15M8qUsOV
WNH5ET1fA9RZzO8nKBpjU0GXxyeEh9Jzdv4EilaFe+qzSbSlucuKrVPo8hFApcXPn21Mfed6kWS6
uE+PuTWApmWJ9r31tdr9qJpTLUlOpVBSOSGseCo1/qdB90gAgqU9S9VGhmRKoAIJwtG8cWp9VhmQ
VOWOI9XutXLatNmGYBXc341gMxaIGBPNr2ZlZRLS5RXTwg3Pw8K5yj0Xvm5CJdHaVTC3B9JoAses
ZhH5o/ChIojNUtLOoX2IpA0SzFMConEaum4V8yLQEPnHCRbpPS6G4xIX4A7DnQRfgDC74Oy5yszs
uNIrSKAxpYtagwo5Bb7jQTlunLC8ME2cwZpEJbkmVs9VuSaAUB+zhR2BlsKsz2DuFfea621w568R
51pkHt51vQr8YhDCImneDGfm017Vr/PUo+Fod/lKr1LU0FqXT6Ocm7uWEfyEUQBISduvtTEI52o5
3jW2S6Jnu1acbqlY/YLmx7LSQLEIXVdDyG11DNkb4eVdjZVV1NE1w8YTa0osTvAeMTpLGMtRPiNR
aJPgs91g7BTH+SqJvHmfhZ9jR5phbnaRl/Ia0+ipmwTetDSSi5ZfaQOyOJf7oEyXtaTYC9vMTxQj
+Q5jnOaz5X6QW+cD1pDpVI/d1AQMU8sLpQdG+EZGCfh+pWVeeiGN9ZBDWkwHmtyR/HUY0XBNqK1+
qIa2AHnvJoHa/HAqH18hB1jT5sdwue4KXammIbgJsGW/qgf/TE9dey51PTSq2r/vJIj42E3dcLR+
rsf+QmmVb5owYs3Gm6ANnalJM2VuefptoPYnnewN32KfaFvcW0DVEYvbIh/OwFsrNMoL1yFXpbSl
D41VfB4CvlYe487qefZHt0chTZYPnUGKMB8hvhGZuOGag7warXslzPR5oNRXbR37M+xK1Flsq2eR
52hLQyJbxR2XhAMYszJpy6mU+T+8qBgJvhzGhQ1oN8Vhb6lK1U2AT3DGsiEwgJhYexD+XtVIwxhV
lcINq+908jFLCdNd6WtJaI6ZI9cPYXUaru/NEb5YEAZo1zo2dLRyFVuRRSMe5bJRoS5I8mlTwKGk
tXBf+XhtJPqmrdwPZkyrOBrCMxro61yDNmVmzpoMe2tCTEILtoWvg7je0HHplkWfwMDzSYhQnXiT
oqMfsYOg0XAsV96NFmk5Ag5cDyXf7gUf44sl+Z962B+AUV8LXw+Oc985Hnu8Ojw7X7tZ9dVEsoF4
55OE44iv2R8lKlhfNu9yfTxLEmEdwdwcTVQnuZI2M+J/LluSXyI5W3lNsCxD35lHvcOFsO3Nb1Vb
HftApJeujTgZdTmalW5tort/qNz+PdoUdvpfH23H6bCjxyr+zdPBphhHJtIssAEdzxRZ6KOeDjYF
WhTcbgJeZA3Fs2ikPvVYrSPd5KiD+4OY8KEz+3SwCcsqKEGP9Cvq5D852LAAeHWwsSGQIiNCZvgU
VEivADXNj5HOt1Z9lkSmjx93jMVFluj2eMGVaUTxFDi+O5pz3W9lH/OzNurmhoKOADM0LK5JUybS
LV4XNmol4iRtpIs4FnUG1tZKbxYNuV6xr7FlpwnRLLoeB8xnyQ1bdSa5TpZ+G0sT8M5qGqdMZ5ac
t1AGDKNDD0JYZVhtrLEuCTmpcWms5Gnfl61TMbn9chlWuUNyiIzNQ18SDtlh9F1kHCM2TnJFk0WE
4UYhbbGia9cQU4aFagfpmUWS2yVbSPddTg0DeDr0ve+tXvaLGMOCD/BlsjmIgnsWSoRr4Pvor0yd
vEN0U9pwAVsXhlOTdadRanX4UrX1rHTze/o6leDDqOXGDoJqGte62kx918Az0Qjrz2pXJFNG0MDH
N3aWrR93HzyahAinAjz4ddT6owwBQ/NgtTRyr+MXUPUTo64ljD/l4ayUy3ARAWct9FxBHV9VeIEi
46IMGdt6VRAhRXc6B81xHF/9po35eO6PY0iCn9qo3yPO9XVTYHY0RGH1VfTWZwq3sXNKBG822knz
sWmiHwxpelwQUPJJoaUQYxPA1U8nK2tCd8k/GzgtZ95AA8qApL90HPj4GIrbZ/QucDwu0nCK5Xo5
9TVv+AHVPv6AN2B11SRZs6icED8NRFDQR5V4nJh+FS0Gx2U/7wvzQmFnWwSFUZ1rgZbP6kbO1tye
2nVVRSfuANxLm4poamPo7zuMmVd2nngnfYZfPJo4SzoNiE8HbqtArbIhjid1TVJ3MRC6nnukw+qY
ruJAXiKzG1XHPYlLybzC1fAa01n1gyrZ+Uc+vruQaHucVpkqaLCl/HEYfRAKjqZjL0hxasTK9FSv
8uHSL1EqtFVXzIeg6edeO7qLqqgqb/bvpUGW4aIKhfevd9ZzAt421VvoWfyrp70VL0Cxe6GRIa6Y
WPvnlwblSHeQLYMtU2tBR/25t+ryESU8JFQd/z5R0LPjPe2tqGbxVKCFIS7NW6fAPyGjWq/3VtGo
UFVUuJBhdHy9xc+fXRp030uhIgzKRyPu6mhFwhJ8SruITokunupjdUEdde1SYONwGi87z7mWAr+a
JL6L+Y23dOjVosfqv5R17s+1jAKck97R5XVDcLuZ9MdaX83GZoXy5CbzvBPXW/i291EJHYDOoLIp
+gZnZimYaESV2U2oGm5RgdKdbpAs6q59Y+luPLfx513oXX0zZsmKxFNvphntOfpBbU4CKPcM3JnH
lqhRKqBTHaOLSWPFV6mELCQp5bsgr+67Ub21JbyDsibyp6Xaf0rsHmvbnjzzQbouR1KHevzgQ6Ji
YPNheGsOw1rSo0tTGYilTAlD6mn+Il/iL7rVveHiVdyOJHO1CvsUIVShGhBv4lJQJn5ZQBvRfsjR
V9SEfmXSm5engdGVKzN0/Jlr1SXBKt2gT41IxqUp9TUNfxNt6HCg0mpnowS6286DvsSgJm19ArrS
aAUtQKSK4n9b630+l4mvncCPEo4rdrxABQn6pLYlyVYBtfLgdfUFVnvkjY1xedFmWrhs8ragTo0Z
KrLOJ5VgrfpFSLhlSuRnUphfsxGuMKrHjk6/TjpfRiVWC4dmWqIoOhyXxAyrGy4QcuEf24TyDCHR
FCo9TrVY10B/0INT3ODDGWqf6sTn6F72JSaw+M401ayA4Uq1SUtbiZp71cnsJZB1My0i2JHYF39v
a359qu2ISEzk1wpb3iTAoXGFW/mdI2Xk3XCOzvGTQ6vq6Mex3FTTzAjjc1vzMLmtBI9TQmvqEMa7
1GMNN+u2Mpa2X9wlveIsCSH1J0UpxefWmIGy2Oz0odulG5soHFDeQF6hYGJsZAmGE3ENHGF1VM4U
y0JxWUrp93xIPYiRMHoqgyOVVMRy3VlZt/a6plw6vrColm1tmdcmycdkJU7cyrgPdEuf6IN/r3CW
LiuiyIhpHBP8G50cQ1zb1r/LCRAy9sM+/O/AEtGvFA253s5dcGWyILm4wQho4u+sOe+kxHh/1Y0E
hs/9kLOZo9nuF05rlOE90dnDylYU9SLDipr7hVWta3eU8QJE8V3K/WcIoNx1ZToQEGYjrCuLq0Hi
RiePLhxvWtHzyifUrq1uJK+4jsH3J67tdHMfa/Z5m2QZbkQW/tZDeKWkGbf/Kvg2OPibqSDJuLLZ
eA3neBeNzUWQopoxzDiYZimSV6cxYUe13xrZXXSejeTEke67sBbxl8GNJoUnWF5+hdqGkKiSzCmI
gNhEnFOG4riJnPuMdSo1zIs6sT/TwzsvFP+EK5s1ScvszJL1H6rpXLex1M+Usj+vR9QsdlmusrH6
VI3Ol8I33blcJ8TSNuW8DYdgEmAQsNRg4U7JakOAnqTrzqumpe1feuTQQYmlCmhirVgb8gjOHWLv
naor+LgnkeV+tLXuVOph9A7UyqyUoIQW22OwFcTpREdf8x0ud/rNjOpw5WktlmI6HKC+cPQTwjyo
As2smuhc153KYM+Sm3RuasV51kmfELh3yzCKghMPPzokxh4g89DZfCR03INUI4Lq2ZPcrPMuEhqN
yL7x6GvE4hll10Vyy5vWueHPQzdwljI5KZexV+YzW0VrxQ7TLOEN0aM2emeZ6wr5uyH22SF2Xuww
1rDsGxLKXXyz8TpL9LkzhtiOl8Z9NXiwH/TxGEXYRyTc60QLPxgNpD2tk9WlRhrVXANgWFDZBQsE
e/KS6BZlpsPzXalmD7sFXXzgxyPOYoG6VLWerR528spPWLVqBx0iTommNX2KpSFnl5ILfA+6lG9q
lDSeYGJ5kyZUzCWm69x4uTrieQ0hiVIe22Srayb/ljrbUkf9LT6K8fGOS6T4N0+FjmIdUcVQmRjq
U7f85yWScCfkvLJuKKYpC13vz0sk10siooRa5+fV86nQEfdLJDwOeVAOd0Jymv6k0HEEueNv8gfo
KIgoLXYFRoZpoQF6Rf6oRo7OxmjMM9xasV6EJpJXiODIT8aCgsoYiZfboOuSVCYbvFnXyk4HOama
eRNgn+fXhhyf2k0g449JnxjS71Ts4PrclRo9dOZ0ZUlO0cbOiPtJV7N4rrsmkfC8kT1d2NdbkpMD
XZboTNmhzf6iCeGhwwDMvIVllAD9fXqNwjaYgj2v6tTCvqFqaxwraLmWAab4jSdVC7eRP4epelqm
HC3Epc3cQb4ka5EeJtzKSebm6zxL1mnhflC6/mpgsU9omrqTPE84/I9Ba10KAyiG0FcJl7a44MU9
5nmBzdHTENY0IUXyOrGcc0WG5S9kbVJToRfphVmQY+WzLrFPynS4Vfu6nwVN+7XuDc5pL14nAa6J
HDznVZYOi87ED85sHIDKtqjp94/9LOJExGwy5aok7t+2rM5lVD6zsFEKsMT2VtJ7WpLgmo0I9Ehc
5bbv8wzYuVqEQH8B1NcpXT38HNQcr/ryqjEI0AoLUsQbko1aJIdQ8bRPcJcXhdWoCzciA0tKqEu4
Ax/rfgSjTc/OQjW7LIoO64N8HSAa9Xuuoa2NWRGqGhiH3/UBwVDpt7NakydtHBF5h+ayJS1cJzW8
zClShPvYRBWR4vRnI7r5xIxLWn2KyJYIVRFBLpNFDsP4ukm5dkb4piyJRAhmaD3PewuPdt2pp0pR
4z0J2baQy2tPJJ6jD1sPg/Kp9lD59HE7CWmHR2l4CZX5Q2Bos0ikp5siR90Vieq5yFYvybKeysSt
yyJ33S60u0wksSsik90gnN0QKe0+/ONUi75QxF4lHGFZXnyUfHgblgh817fR72TAh3Fy1Vn2TBRK
jazdyHh4z6zQWLZd/KmPDMjkgqblYmfsb7PlRcr8KKv+Os9LZaY5oP5+112nlirIcPV1T0y9olef
9Qrmr0eAfeo7H8PKmEohVYJRf+9F0n2Vdt20sSIE7RE2HOR8z7S6+YQLZoToRcHOcfDgGureqqiL
y8YcbyLb+8Z9HCsS1MEQE4MChROUAV1uvrSBbE4UitFZZvpQX7MT2XI26YjGWfYKdapmyieavAss
ZT7nlbyUtOy8w6mTBHrtk3DLm9m+TKhrL515vn6KK7U01aJg0QfxNaUc1oTKsEm8sV9Fg7dq2lIX
IKozTaUonWkJLiRg9TdhWrRTiBecZD1cF0cebKKcZFwVx1IAOYsEq8eFqxLaipyBcxVNf1wNH9Hg
35Ux4G5WFme5ZX3JCtc/KROOVFPp70jDuMQ33ZqYcG0mSszVpxqH+64lRYuyOcWqWdWnVH22oO8o
y9jqMmISMdRxsQkwQfsmkSLhd52jji+GzJjq+LdEXr8x/ToFK0/TeW86p41RnFKu3kV1T45xz6Fa
RgMTqrbg5Mv3ZaevvSxYDWN2k1o0EUy/OLa0CNf3XoH6WLQLu5eg2zTmpU5P5dirEzSCoUDI1fAU
HvgJ6MWS+mEN2+oCYvc6icNjvy4+uX5xX/fY06UdstvM/Yi44XNuE4yhDUMxgTNprh32RfZGcs4o
duZW1ohCKbtOM3gdVkdOXszN1YCcNO88GKhB2105FRkaTUZl36Y5Dw+im16rNZZjD3RFHyyxcXhy
ehXnzsG/Vru7roQJYRkkOqeDvvbN5KYfGFHFIfEP3vncbbOrMsQ+glr1StWNO9+roYtGFnlvmoDZ
sx+OqgMiyvetwmTIU/Nzjtsvik2ookZMUI6CF/aiSKzzNiQIV0PdJnkd8si4PTOk6JKvOusa/yNU
HFy6ETJNvVYiPSO2Plgc7jPflo/BEgOyn+3+WO9Qf+QuxBgH5UYc3CUd7QRX7zB26MZ0VUXtF6i6
49S0+nHSPaCV/1ZJ2ypJ6I9+DQh9Cu7KcvMWEBL/6qlOEoAQ7V4FExRyeF6bplCmUJpoCkJzxAF/
10nOkYV5CMkRBgYp2gtBk3PEQ1QybA1Lg3P6h11k8dFe1kkAQhbufVj3wXQBd38JCKGYTHzUh/JH
WgKAGcmIqkj5lnm3GCmNuKgRWJh+wMG6wRvWUT90OX9eqtZHE0ZOU+QLKP2XMU5MuHIhEMGaqYr8
r2lpLIvcuiR96TR3MHGqrBsiOnP2xHo+4vJUGxZGvhXGT6rXfKHU+BwKS6jGAd8tMJ+eYWF74+Ib
RYjv2uA2kuAnNZItoOAvpepExSQ4TvlGOocBb02jMVhVDST7EHcqopZW0PJwPY9qlrl/g4/DlxE/
KwdfK2pQajOcrqQuxf6huYowJZnoeGGVjrQY8cYKnIi+LG5ZuYOnWkd0tx2gtNZcO5pYeGvVbO3A
DTZkd31p4b5VVjhvDfhxFR3Cyhx/iuNRmHVh9L4OyW2ahp20wt9enygBJKVGQjej98fq1vPLvOzy
5nKok/JLjCtYLOzBzILQJPzC5MQgSQsDsVzuT7GgNiadZ0lzA5exmh4AvKxmreM/ZiJbJdLJOBmU
WyQ73zx8ygbb6BB5ckca7e5bJMzM4kI7xY/3ThM2Z1Cmv5jC+KyTsUCTdHdRC1O0Qdijyf2wCvFL
s+1unuOf1lSMmScs1boHezWiEvBaq/ta8eeuFWbLGv5bj3SFKMlRz+X6OLPJF6ktB5djwpYodTK5
tObqFuKCUAXcFbdFB4nKUOuZuQXE+i04lqhZSRmi+zPPL4pprjunSVMUcxlsLRUgmyTgNo0Uswkc
e/6/DgkKmJwpwDknKu5tAdcN4HaDAPAsAeV5RnRpjfmwJij2TPJVe1oT4wE2ak4yyf8agwimAhps
+/ZTLsBCbNYCmIXGbQiOqA79Hf2eYULT/cozQQ3pj53KAnyMkACWAo4MBTCpg1D2W6jSiVa6X97A
QagXWJ/EOJPaN8h5Kap1pGFcU28rWxXeROzRQ1I7HEtAo7IASWOP8uMmbsmyJKe+D291AFUDYFVF
U2RE45qTehlm+UWrhWgwgGJzPchpCXtCQwXM4GDYLJvXLsZES4M/sZXu2huLiwCAd9Cl6kNX3dBk
qpDEStka2fIYzHhUL9zXKFR9iUIzJgvNp2FU9nh0dKKP71N/ieDUCOLrSJLqSCOfC8K9iTwYB7i2
pPoeovLHv+fK9lwRKcS/Plc+bKrqLn17roh/9XSuIJQVTlu4b25PgVeNBvSx2HLSgNBozNL6fWzi
QmSnyUBvjss5F/TtafR0/+bIIRSFJwLLEMuGqecf3L+3l/yX5wqaC4ofAzohZtBQGl6eK23jCJW1
2X0cOq2y5n7rsg00YkfwhgCXCtVd12OEImYI2za6UhoFMZkis9ce52MgT/rWxOalGpwOS/xerUci
CvM0EygcWo8fAiwkUjCHvAEBAyMakq/KVW8qnnPvyOS0fEJpXpULtDK6y515HJ1ZnGdiLtPqlRBq
mJ46EnsSdaTsjZmiE0PWeL0yT1TuK3P6OwkWFfa27RehGJQjgumIFNGNL7FC9OLC0srjQFW4WKem
Xq9yqR1WvTY04X0nUFlvC9B6XpjUc6QI3I8Egou3J1iuQHWdLcA75EM7l2JQXwhAFsEFbNhyglgP
TNf43gqweRSIcb0Fj43C00Gz/Xuzk6DSp/Z9mFKhU2IncyvnZxBihdU+mDQQQLf2PeIobRrTGHdy
ysV1wd1f4NloHaKJugW5E4F3lzL1cWOgH1MEGm6X6JoxT0s3isDKTYGa5wI/18UFEQMxZ2nn6V1k
jcZSE3g7Ejt9WWU1sQtbNN7DUkQ3mvgcpyBc7wHtcQkS3Yaim9sC0fds7c4XGD8x8kwLAV0mKHTn
CI9xqKQpkIvugDnGREGIjoFflvdW57rLXHQTrCRsK5SH9BjiWrWWWZZUCPbpQKiSH57ymTmvRH8i
olERiI6FKnoXhuhikFVgLDvR2ahEjyPrElInRN+ja2i/pKIXwo3gayy6I57ok5SiY+J2Fg0A0UWp
RT+lEZ0VJTaLC2/bbRF9F0t0YEZc8JXpKPoy9Gvjxbjt1WCWMqlE/6ZXLEwjEswOXNHdUWIynmDS
Jav/X7bNR3KOcBWepzWWVhfNXTlc3lUN15qn/UT89DyjB/A5+9/9pd8/6NG6+POQY2e8uU2CFI5f
XQY/asGB2X6q49v//I8H6wIVfvKLjXj7wbaf+rfPiTd8u+aWd9DMIxP4DyINdy/xAmmkOeI9/ljC
2Rs4lLoAddjzX+PvRuH3X/BhOH//d3774V8Pgrz/INhHcFFF4xt9tXix3b8cBPUIIi1UGxEJzIA/
myi/mgq//4L7DcLziWAYDjevP54EfMG/54B1pBo6jRuMnrYvevsvvj6nNaHMhEjgj759HcIg7FgO
gv/8xyPBc54NhXMEsV3VTOqL7Uv89MVyULkQ20QS6g+z7v94JuwYhDcskD/fEyjOYHgj2Xj8dUPo
eDkI8pFDIDeBIoc6CEIAsudMoNkDqsEgPEx5scpeDwK7BbQWw3xaNP/3O8Ou+cCf7T0UBoRLNkDI
QeL1Zj4IbpD4D7dO8WL/OMyh4HDbcyjMIwGEKWjLH4bizaxgKGRYdGiuDnQQlP2Xhn4kGyoMV/1x
EF4fl/BwcTEWLLKHouJg58P+54V+xK1OE/m025n/pnyi0axCIHOsh0P68I4Lff/tAY9sC9kQTe+H
NfF6OqicmUC+MLsOdU1o/5sSioF7VjhAAIAAaXEkPgzCmz1SPcLeU2GXPMzVgHPXewyCDfqiotP+
9SDAniBE5UA3R6GF2/OEsI40mcg1eJe/WA3QZW2sDZCPHvRhaew/FOYR2yIQGpZ3T1/1RQnFvUKl
s4Sa9uFgPrzd8bHAffCe+Xnn/aMLNmJLqHw4H7zeFjkaMKfBI+9pyzjQNaHsf0oyEVChQpv6RdUk
Lpj8DLDhoTg5vIkgP1z895kI5pGlKSaY8uOt6nXpyCAgy+U/yqHeqh6Prn0Ggd2RupBG7a92R+VI
bAhkPB7qIGivmx9/fr+2+EULcTX+Pg+v11dL9Qh9vYiIPNSq8U0H6I8HQahGIA4Ip9SH1xvgUWZP
wFOEFtCBboxCerhnsWAf6cJXEWztF4OwPT1M+KYPm/DhbYxC37jnIFhHDgekDh3kF4OgCNcrunA0
QcTrMAto4bWw91AYRxgs6MTbPmBK4qu+rpgEUk1z8mAXxf4HpcXCl6H0EP+9fYmL1gsMVgGDFQCD
sKdg7h3eohC13p6LQkPKDLiIzm33NUIw2A2NK/XBLgdj/7oRuzscsUmp/EVfZnuB0BTZfCzPDm8m
CJ3k3jPBsWX8Hx+3hLd7AjUVyWXUzodaLYh04z0HwRZG6GJBPF4l31QL7AmWzlRQf5ZUB7kzCMnq
nkOhi+KQqoh23c7qUVymcGGHjvuIx23f8fCWhrL/0qA64l5NcjPtcPF6PSvwisB0jCuXddg9GnX/
OwWQ+za9Xv3FUADCokKltBBOSwe5NEQewZ5LwzkCYKU/hfnH9vW6fMJaFfkWeeKihXWQg6DvXUNy
scLkFWBJe7xTvCmfVPxg6VrYj7Pu8HaGRzhwP5zBsWm8cGn4xUyQGQRVUciqONSZ8C57gsGRKdg9
u5cDjRlhviYfbLPyEQXaYyZAGgV2Y9d76km8ht3YGE3uGjgnH+pMUPauGdgT8DhSdF0s+Zd3KRqY
pgIcx+GwfR3oahBH+56Hgy0Ce1Vsyn61LwI4wXDAOvth5R3evvjIPttjNUD3YwxwY4UmvXtLQPBj
wvSA6XWgM+Fxw95jENgSOBagLz01rN8sCo5QAhl1cJYDHYTH384eg6CBugnllODRb19AFi93BvUI
e1dxzzhUlEXev0OJPxFcHgG4/WIQlCMDMA7jkYfi9AD3hIc+yT4zwaEKIC0RP/+HPWFHwegouCHY
1qFujCK1dM/TYcvfYFvEhnLnxsitmjAGC8HjIwnuQHeGR2B4v/lAeArqTXQ22xeb4MudAawFYxbW
zKHOB31/wImrpIbXGAv/lzsDhh+UVIc7CPvjr2yPiOupDR+oKm/wFeTB/BAwijuEeB3qJmnsv0na
6CSQH3JUvF0N/MBSKKMPdEuQ32M1GKpM7Mvb+wPKCEKW6NYcKqz0Jt7zj1vVmgF0pppseXTtH6f5
yw2RmwMAI1XCoRbNb4KJ/ngQxD0a+0VLFUIZ8QJBezkINGuoI+D2HepMeNye9jka7SPYKyZsVvbW
l9+eGzbelJRQD4DToe4Fb9yX/3gicIXE54jtgN3w4fVqKGB/c2aauIce6sXB2LtcBFChp4AS+ak8
YOG/nA/A7bRguDo81JOHOh+Mhw+2x5oQ2BJ0BG6Sj+2mNxuDilqIwwNR1YEekG/c5P58UdB+MQww
tidG1+tBEJ1qOPAOt4cDHQRhdLfnHUq0XxS6bXzL7evNRZLbNJdInO0OFVeR994ZNApFRAAICH8B
KTATLF7Mlj+gdP0PcIefAuWpT4zmVpoc3FW7FMy/+gtPktW3P38mPN7qTV/8TSFVfnjzB2Wu+N//
9VK5vKXoPPvpE2Vn+06P//7xK7598xdv9vS9nv5whYnRpvzhD9sfDI8f9GyToG3+75j/c7t5rpYV
smnxe3n6s90y65/L4PdPz4P07ulBf2uyxRT6+6u+1XD/zx6ebG6z8ulBzx7OFrr3wydNvTODkuW6
97Onm3jT8iupnp717LOz6Pd//u+ij7bq+D1+pfj51uXmr2lW1W9mDRdcbn57f/5/ygDd9yvM479m
Wcnkefqsz8afM2nvz78o76pd5qqCgLX3w5fxXbrDOEYcmXs/mxil71l8Wz896u9xEe21vR+PBchd
GWzip0c9e/x7LNnfxKLsO2PWd+WOMRedj70HZR2k3o6NQAhK9n72h020Y/MV0ol3ePRvDIz2He4P
WfXXf6feXXy3a2TeY4mebm7ZgJ/G4dlEfI8leropg13T5T2WqHg2/q47PrrA9/f+tZ7epbfZj2DX
7iW6O+/w/PLH3e3Tg/4ed4GH7P/wjM/+9Jxnz36PZfobu+x9ZzuPru/Ku2HHJ3+PlXq2yXfNFm4y
ew/42V27eVs7kn35Hkv0Y7lhC3j6lM9+ne+xRM/jzY+7HbWjACf3HpbfpsjsO1suA0rHKrjdMTKC
R733h/+0+VFyJUjrHdWR9h6r9NMm/WtylwY73+A9lurDG5TpprzduZGJ2Pd3GKb0r1lw5+0apfdY
teJLLFgBP4Lqx673eI/lK97jJNsUza7TSmiW3mWUPjRB9dfH7wHZmE9P/Hsxi8bDu7zL6aa+2/X8
91jPjFO9+WuyKb9vdtUMgq7+Ht+B95jGu9/hfRa2+BbTshmfPu7fvwZhcLH/V/A3O++Egq67/8N/
Z8S87576Kagioviap8/5bGDeZS1nxHDumJyCQ7f/wJDjkew44IXwcv+H1xt8aeNNUz097NnQvMvS
FTDLjnNYkBP2/vSf7/zNrqERrY39H06Nj/vh05P+HhfRLdj/6Q07wY4jXnSQ3+HhAETJLlxOkMr3
fvwVT2h2bZRC7Lb302+yeMdSEuSF/R/dfN+xkATm/w+P3gXL/pRcvgVrn4wNd/2zl1i0+Bs/4rtN
+V//DwAA//8=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8.xml"/><Relationship Id="rId7"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243840</xdr:colOff>
      <xdr:row>37</xdr:row>
      <xdr:rowOff>3810</xdr:rowOff>
    </xdr:from>
    <xdr:to>
      <xdr:col>11</xdr:col>
      <xdr:colOff>327660</xdr:colOff>
      <xdr:row>59</xdr:row>
      <xdr:rowOff>60960</xdr:rowOff>
    </xdr:to>
    <xdr:graphicFrame macro="">
      <xdr:nvGraphicFramePr>
        <xdr:cNvPr id="2" name="Chart 1">
          <a:extLst>
            <a:ext uri="{FF2B5EF4-FFF2-40B4-BE49-F238E27FC236}">
              <a16:creationId xmlns:a16="http://schemas.microsoft.com/office/drawing/2014/main" id="{7BCE3463-968B-8322-588E-97FB93215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662940</xdr:colOff>
      <xdr:row>43</xdr:row>
      <xdr:rowOff>133350</xdr:rowOff>
    </xdr:from>
    <xdr:to>
      <xdr:col>17</xdr:col>
      <xdr:colOff>38100</xdr:colOff>
      <xdr:row>57</xdr:row>
      <xdr:rowOff>38100</xdr:rowOff>
    </xdr:to>
    <xdr:graphicFrame macro="">
      <xdr:nvGraphicFramePr>
        <xdr:cNvPr id="3" name="Chart 2">
          <a:extLst>
            <a:ext uri="{FF2B5EF4-FFF2-40B4-BE49-F238E27FC236}">
              <a16:creationId xmlns:a16="http://schemas.microsoft.com/office/drawing/2014/main" id="{311E222C-5DF0-C340-AF84-273AF68F7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68</xdr:row>
      <xdr:rowOff>34290</xdr:rowOff>
    </xdr:from>
    <xdr:to>
      <xdr:col>12</xdr:col>
      <xdr:colOff>236220</xdr:colOff>
      <xdr:row>92</xdr:row>
      <xdr:rowOff>22860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362ED58-F624-C5C9-DE26-9ED5F758EB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56020" y="13437870"/>
              <a:ext cx="3291840" cy="4377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365760</xdr:colOff>
      <xdr:row>129</xdr:row>
      <xdr:rowOff>102870</xdr:rowOff>
    </xdr:from>
    <xdr:to>
      <xdr:col>5</xdr:col>
      <xdr:colOff>693420</xdr:colOff>
      <xdr:row>143</xdr:row>
      <xdr:rowOff>121920</xdr:rowOff>
    </xdr:to>
    <xdr:graphicFrame macro="">
      <xdr:nvGraphicFramePr>
        <xdr:cNvPr id="7" name="Chart 6">
          <a:extLst>
            <a:ext uri="{FF2B5EF4-FFF2-40B4-BE49-F238E27FC236}">
              <a16:creationId xmlns:a16="http://schemas.microsoft.com/office/drawing/2014/main" id="{28B6B024-FD5A-FC0C-1EBE-5898B06D1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807720</xdr:colOff>
      <xdr:row>145</xdr:row>
      <xdr:rowOff>140970</xdr:rowOff>
    </xdr:from>
    <xdr:to>
      <xdr:col>6</xdr:col>
      <xdr:colOff>358140</xdr:colOff>
      <xdr:row>158</xdr:row>
      <xdr:rowOff>53340</xdr:rowOff>
    </xdr:to>
    <xdr:graphicFrame macro="">
      <xdr:nvGraphicFramePr>
        <xdr:cNvPr id="8" name="Chart 7">
          <a:extLst>
            <a:ext uri="{FF2B5EF4-FFF2-40B4-BE49-F238E27FC236}">
              <a16:creationId xmlns:a16="http://schemas.microsoft.com/office/drawing/2014/main" id="{CB94735E-FA45-DA38-A4A4-A0540DF52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68580</xdr:colOff>
      <xdr:row>161</xdr:row>
      <xdr:rowOff>72390</xdr:rowOff>
    </xdr:from>
    <xdr:to>
      <xdr:col>13</xdr:col>
      <xdr:colOff>922020</xdr:colOff>
      <xdr:row>175</xdr:row>
      <xdr:rowOff>121920</xdr:rowOff>
    </xdr:to>
    <xdr:graphicFrame macro="">
      <xdr:nvGraphicFramePr>
        <xdr:cNvPr id="9" name="Chart 8">
          <a:extLst>
            <a:ext uri="{FF2B5EF4-FFF2-40B4-BE49-F238E27FC236}">
              <a16:creationId xmlns:a16="http://schemas.microsoft.com/office/drawing/2014/main" id="{2D44B1C3-D5E2-C851-170F-DC55A299C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822960</xdr:colOff>
      <xdr:row>174</xdr:row>
      <xdr:rowOff>121920</xdr:rowOff>
    </xdr:from>
    <xdr:to>
      <xdr:col>3</xdr:col>
      <xdr:colOff>106680</xdr:colOff>
      <xdr:row>187</xdr:row>
      <xdr:rowOff>121920</xdr:rowOff>
    </xdr:to>
    <mc:AlternateContent xmlns:mc="http://schemas.openxmlformats.org/markup-compatibility/2006" xmlns:a14="http://schemas.microsoft.com/office/drawing/2010/main">
      <mc:Choice Requires="a14">
        <xdr:graphicFrame macro="">
          <xdr:nvGraphicFramePr>
            <xdr:cNvPr id="12" name="Order Mode">
              <a:extLst>
                <a:ext uri="{FF2B5EF4-FFF2-40B4-BE49-F238E27FC236}">
                  <a16:creationId xmlns:a16="http://schemas.microsoft.com/office/drawing/2014/main" id="{4383E4AE-C3D6-874F-85D1-DE6C33B474E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22960" y="32910780"/>
              <a:ext cx="1744980" cy="2377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174</xdr:row>
      <xdr:rowOff>114300</xdr:rowOff>
    </xdr:from>
    <xdr:to>
      <xdr:col>5</xdr:col>
      <xdr:colOff>685800</xdr:colOff>
      <xdr:row>185</xdr:row>
      <xdr:rowOff>114300</xdr:rowOff>
    </xdr:to>
    <mc:AlternateContent xmlns:mc="http://schemas.openxmlformats.org/markup-compatibility/2006" xmlns:a14="http://schemas.microsoft.com/office/drawing/2010/main">
      <mc:Choice Requires="a14">
        <xdr:graphicFrame macro="">
          <xdr:nvGraphicFramePr>
            <xdr:cNvPr id="13" name="Gender Value">
              <a:extLst>
                <a:ext uri="{FF2B5EF4-FFF2-40B4-BE49-F238E27FC236}">
                  <a16:creationId xmlns:a16="http://schemas.microsoft.com/office/drawing/2014/main" id="{03AC6C7A-9929-2F1E-71A4-57139E8F859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3147060" y="32903160"/>
              <a:ext cx="17526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76200</xdr:colOff>
      <xdr:row>50</xdr:row>
      <xdr:rowOff>7620</xdr:rowOff>
    </xdr:to>
    <xdr:sp macro="" textlink="">
      <xdr:nvSpPr>
        <xdr:cNvPr id="3" name="Rectangle 2">
          <a:extLst>
            <a:ext uri="{FF2B5EF4-FFF2-40B4-BE49-F238E27FC236}">
              <a16:creationId xmlns:a16="http://schemas.microsoft.com/office/drawing/2014/main" id="{21FE4503-D208-4611-B239-58FE734842A9}"/>
            </a:ext>
          </a:extLst>
        </xdr:cNvPr>
        <xdr:cNvSpPr/>
      </xdr:nvSpPr>
      <xdr:spPr>
        <a:xfrm>
          <a:off x="1924050" y="0"/>
          <a:ext cx="14097000" cy="9056370"/>
        </a:xfrm>
        <a:prstGeom prst="rect">
          <a:avLst/>
        </a:prstGeom>
        <a:solidFill>
          <a:schemeClr val="accent2">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7620</xdr:rowOff>
    </xdr:from>
    <xdr:to>
      <xdr:col>2</xdr:col>
      <xdr:colOff>266700</xdr:colOff>
      <xdr:row>50</xdr:row>
      <xdr:rowOff>15240</xdr:rowOff>
    </xdr:to>
    <xdr:sp macro="" textlink="">
      <xdr:nvSpPr>
        <xdr:cNvPr id="2" name="Rectangle 1">
          <a:extLst>
            <a:ext uri="{FF2B5EF4-FFF2-40B4-BE49-F238E27FC236}">
              <a16:creationId xmlns:a16="http://schemas.microsoft.com/office/drawing/2014/main" id="{20E378F4-2A97-D78B-780B-AA7874E0890C}"/>
            </a:ext>
          </a:extLst>
        </xdr:cNvPr>
        <xdr:cNvSpPr/>
      </xdr:nvSpPr>
      <xdr:spPr>
        <a:xfrm>
          <a:off x="0" y="7620"/>
          <a:ext cx="1914525" cy="9056370"/>
        </a:xfrm>
        <a:prstGeom prst="rect">
          <a:avLst/>
        </a:prstGeom>
        <a:solidFill>
          <a:schemeClr val="accent2">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7620</xdr:rowOff>
    </xdr:from>
    <xdr:to>
      <xdr:col>2</xdr:col>
      <xdr:colOff>91440</xdr:colOff>
      <xdr:row>6</xdr:row>
      <xdr:rowOff>83820</xdr:rowOff>
    </xdr:to>
    <xdr:sp macro="" textlink="Pivot!G4">
      <xdr:nvSpPr>
        <xdr:cNvPr id="4" name="TextBox 3">
          <a:extLst>
            <a:ext uri="{FF2B5EF4-FFF2-40B4-BE49-F238E27FC236}">
              <a16:creationId xmlns:a16="http://schemas.microsoft.com/office/drawing/2014/main" id="{FD298FA1-4E76-4AFF-79E6-2D85CD31AE38}"/>
            </a:ext>
          </a:extLst>
        </xdr:cNvPr>
        <xdr:cNvSpPr txBox="1"/>
      </xdr:nvSpPr>
      <xdr:spPr>
        <a:xfrm>
          <a:off x="0" y="556260"/>
          <a:ext cx="1737360" cy="6248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B1048CAD-2341-4E04-B46D-CE37DFB3A910}" type="TxLink">
            <a:rPr lang="en-US"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rPr>
            <a:pPr marL="0" indent="0"/>
            <a:t>2,400</a:t>
          </a:fld>
          <a:endParaRPr lang="en-IN"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endParaRPr>
        </a:p>
      </xdr:txBody>
    </xdr:sp>
    <xdr:clientData/>
  </xdr:twoCellAnchor>
  <xdr:twoCellAnchor>
    <xdr:from>
      <xdr:col>0</xdr:col>
      <xdr:colOff>0</xdr:colOff>
      <xdr:row>7</xdr:row>
      <xdr:rowOff>7620</xdr:rowOff>
    </xdr:from>
    <xdr:to>
      <xdr:col>2</xdr:col>
      <xdr:colOff>91440</xdr:colOff>
      <xdr:row>10</xdr:row>
      <xdr:rowOff>83820</xdr:rowOff>
    </xdr:to>
    <xdr:sp macro="" textlink="Pivot!H4">
      <xdr:nvSpPr>
        <xdr:cNvPr id="5" name="TextBox 4">
          <a:extLst>
            <a:ext uri="{FF2B5EF4-FFF2-40B4-BE49-F238E27FC236}">
              <a16:creationId xmlns:a16="http://schemas.microsoft.com/office/drawing/2014/main" id="{A2F3AEFD-7DF8-4691-8180-6BE9BC70453B}"/>
            </a:ext>
          </a:extLst>
        </xdr:cNvPr>
        <xdr:cNvSpPr txBox="1"/>
      </xdr:nvSpPr>
      <xdr:spPr>
        <a:xfrm>
          <a:off x="0" y="1287780"/>
          <a:ext cx="1737360" cy="6248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F03A6F17-3E18-44F2-AEA2-F51BD2339B01}" type="TxLink">
            <a:rPr lang="en-US"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rPr>
            <a:pPr marL="0" indent="0"/>
            <a:t>11,997</a:t>
          </a:fld>
          <a:endParaRPr lang="en-IN"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endParaRPr>
        </a:p>
      </xdr:txBody>
    </xdr:sp>
    <xdr:clientData/>
  </xdr:twoCellAnchor>
  <xdr:twoCellAnchor>
    <xdr:from>
      <xdr:col>0</xdr:col>
      <xdr:colOff>0</xdr:colOff>
      <xdr:row>11</xdr:row>
      <xdr:rowOff>7620</xdr:rowOff>
    </xdr:from>
    <xdr:to>
      <xdr:col>2</xdr:col>
      <xdr:colOff>91440</xdr:colOff>
      <xdr:row>14</xdr:row>
      <xdr:rowOff>83820</xdr:rowOff>
    </xdr:to>
    <xdr:sp macro="" textlink="Pivot!I4">
      <xdr:nvSpPr>
        <xdr:cNvPr id="6" name="TextBox 5">
          <a:extLst>
            <a:ext uri="{FF2B5EF4-FFF2-40B4-BE49-F238E27FC236}">
              <a16:creationId xmlns:a16="http://schemas.microsoft.com/office/drawing/2014/main" id="{92406DDF-4398-4F8D-A411-7BACD8918C04}"/>
            </a:ext>
          </a:extLst>
        </xdr:cNvPr>
        <xdr:cNvSpPr txBox="1"/>
      </xdr:nvSpPr>
      <xdr:spPr>
        <a:xfrm>
          <a:off x="0" y="2019300"/>
          <a:ext cx="1737360" cy="6248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1E400C6F-BD99-4569-8B39-3787DD2137A9}" type="TxLink">
            <a:rPr lang="en-US"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rPr>
            <a:pPr marL="0" indent="0"/>
            <a:t>$649.0k</a:t>
          </a:fld>
          <a:endParaRPr lang="en-IN"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endParaRPr>
        </a:p>
      </xdr:txBody>
    </xdr:sp>
    <xdr:clientData/>
  </xdr:twoCellAnchor>
  <xdr:twoCellAnchor>
    <xdr:from>
      <xdr:col>0</xdr:col>
      <xdr:colOff>0</xdr:colOff>
      <xdr:row>15</xdr:row>
      <xdr:rowOff>7620</xdr:rowOff>
    </xdr:from>
    <xdr:to>
      <xdr:col>2</xdr:col>
      <xdr:colOff>91440</xdr:colOff>
      <xdr:row>18</xdr:row>
      <xdr:rowOff>83820</xdr:rowOff>
    </xdr:to>
    <xdr:sp macro="" textlink="Pivot!J4">
      <xdr:nvSpPr>
        <xdr:cNvPr id="7" name="TextBox 6">
          <a:extLst>
            <a:ext uri="{FF2B5EF4-FFF2-40B4-BE49-F238E27FC236}">
              <a16:creationId xmlns:a16="http://schemas.microsoft.com/office/drawing/2014/main" id="{CE031B3A-7459-4CF2-B39B-D9AAC448F6DF}"/>
            </a:ext>
          </a:extLst>
        </xdr:cNvPr>
        <xdr:cNvSpPr txBox="1"/>
      </xdr:nvSpPr>
      <xdr:spPr>
        <a:xfrm>
          <a:off x="0" y="2750820"/>
          <a:ext cx="1737360" cy="6248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D8B306B3-7B31-4749-8F61-3900A1585CA6}" type="TxLink">
            <a:rPr lang="en-US"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rPr>
            <a:pPr marL="0" indent="0"/>
            <a:t>4.0</a:t>
          </a:fld>
          <a:endParaRPr lang="en-IN"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endParaRPr>
        </a:p>
      </xdr:txBody>
    </xdr:sp>
    <xdr:clientData/>
  </xdr:twoCellAnchor>
  <xdr:twoCellAnchor>
    <xdr:from>
      <xdr:col>0</xdr:col>
      <xdr:colOff>0</xdr:colOff>
      <xdr:row>19</xdr:row>
      <xdr:rowOff>7620</xdr:rowOff>
    </xdr:from>
    <xdr:to>
      <xdr:col>1</xdr:col>
      <xdr:colOff>1287780</xdr:colOff>
      <xdr:row>22</xdr:row>
      <xdr:rowOff>45720</xdr:rowOff>
    </xdr:to>
    <xdr:sp macro="" textlink="Pivot!K4">
      <xdr:nvSpPr>
        <xdr:cNvPr id="8" name="TextBox 7">
          <a:extLst>
            <a:ext uri="{FF2B5EF4-FFF2-40B4-BE49-F238E27FC236}">
              <a16:creationId xmlns:a16="http://schemas.microsoft.com/office/drawing/2014/main" id="{549D0A68-440F-4830-97F7-6997244C2926}"/>
            </a:ext>
          </a:extLst>
        </xdr:cNvPr>
        <xdr:cNvSpPr txBox="1"/>
      </xdr:nvSpPr>
      <xdr:spPr>
        <a:xfrm>
          <a:off x="0" y="3482340"/>
          <a:ext cx="1562100" cy="5867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887190E4-3E90-46D3-A4E9-4B08AABDFD48}" type="TxLink">
            <a:rPr lang="en-US"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rPr>
            <a:pPr marL="0" indent="0"/>
            <a:t>2.3</a:t>
          </a:fld>
          <a:endParaRPr lang="en-IN" sz="1800" b="1" i="0" u="none" strike="noStrike">
            <a:gradFill>
              <a:gsLst>
                <a:gs pos="100000">
                  <a:schemeClr val="bg1"/>
                </a:gs>
                <a:gs pos="100000">
                  <a:schemeClr val="bg1">
                    <a:lumMod val="75000"/>
                  </a:schemeClr>
                </a:gs>
                <a:gs pos="85000">
                  <a:schemeClr val="bg1">
                    <a:lumMod val="85000"/>
                  </a:schemeClr>
                </a:gs>
                <a:gs pos="100000">
                  <a:schemeClr val="accent1">
                    <a:lumMod val="30000"/>
                    <a:lumOff val="70000"/>
                  </a:schemeClr>
                </a:gs>
              </a:gsLst>
              <a:lin ang="5400000" scaled="1"/>
            </a:gradFill>
            <a:latin typeface="Aptos Display" panose="020B0004020202020204" pitchFamily="34" charset="0"/>
            <a:ea typeface="+mn-ea"/>
            <a:cs typeface="+mn-cs"/>
          </a:endParaRPr>
        </a:p>
      </xdr:txBody>
    </xdr:sp>
    <xdr:clientData/>
  </xdr:twoCellAnchor>
  <xdr:twoCellAnchor>
    <xdr:from>
      <xdr:col>0</xdr:col>
      <xdr:colOff>0</xdr:colOff>
      <xdr:row>2</xdr:row>
      <xdr:rowOff>22860</xdr:rowOff>
    </xdr:from>
    <xdr:to>
      <xdr:col>1</xdr:col>
      <xdr:colOff>1082040</xdr:colOff>
      <xdr:row>3</xdr:row>
      <xdr:rowOff>68580</xdr:rowOff>
    </xdr:to>
    <xdr:sp macro="" textlink="">
      <xdr:nvSpPr>
        <xdr:cNvPr id="9" name="TextBox 8">
          <a:extLst>
            <a:ext uri="{FF2B5EF4-FFF2-40B4-BE49-F238E27FC236}">
              <a16:creationId xmlns:a16="http://schemas.microsoft.com/office/drawing/2014/main" id="{7A7727A8-AEC3-E3EF-5366-F107C79F60C8}"/>
            </a:ext>
          </a:extLst>
        </xdr:cNvPr>
        <xdr:cNvSpPr txBox="1"/>
      </xdr:nvSpPr>
      <xdr:spPr>
        <a:xfrm>
          <a:off x="0" y="388620"/>
          <a:ext cx="1356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Display" panose="020B0004020202020204" pitchFamily="34" charset="0"/>
            </a:rPr>
            <a:t>🛒 Orders</a:t>
          </a:r>
          <a:endParaRPr lang="en-IN" sz="1200">
            <a:solidFill>
              <a:schemeClr val="bg1"/>
            </a:solidFill>
            <a:latin typeface="Aptos Display" panose="020B0004020202020204" pitchFamily="34" charset="0"/>
          </a:endParaRPr>
        </a:p>
      </xdr:txBody>
    </xdr:sp>
    <xdr:clientData/>
  </xdr:twoCellAnchor>
  <xdr:twoCellAnchor>
    <xdr:from>
      <xdr:col>0</xdr:col>
      <xdr:colOff>0</xdr:colOff>
      <xdr:row>6</xdr:row>
      <xdr:rowOff>22860</xdr:rowOff>
    </xdr:from>
    <xdr:to>
      <xdr:col>1</xdr:col>
      <xdr:colOff>1082040</xdr:colOff>
      <xdr:row>7</xdr:row>
      <xdr:rowOff>68580</xdr:rowOff>
    </xdr:to>
    <xdr:sp macro="" textlink="">
      <xdr:nvSpPr>
        <xdr:cNvPr id="10" name="TextBox 9">
          <a:extLst>
            <a:ext uri="{FF2B5EF4-FFF2-40B4-BE49-F238E27FC236}">
              <a16:creationId xmlns:a16="http://schemas.microsoft.com/office/drawing/2014/main" id="{6D595EB9-D230-463F-A5F4-8D5019B782B8}"/>
            </a:ext>
          </a:extLst>
        </xdr:cNvPr>
        <xdr:cNvSpPr txBox="1"/>
      </xdr:nvSpPr>
      <xdr:spPr>
        <a:xfrm>
          <a:off x="0" y="1120140"/>
          <a:ext cx="1356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Display" panose="020B0004020202020204" pitchFamily="34" charset="0"/>
            </a:rPr>
            <a:t>👕 Quantity</a:t>
          </a:r>
          <a:endParaRPr lang="en-IN" sz="1200">
            <a:solidFill>
              <a:schemeClr val="bg1"/>
            </a:solidFill>
            <a:latin typeface="Aptos Display" panose="020B0004020202020204" pitchFamily="34" charset="0"/>
          </a:endParaRPr>
        </a:p>
      </xdr:txBody>
    </xdr:sp>
    <xdr:clientData/>
  </xdr:twoCellAnchor>
  <xdr:twoCellAnchor>
    <xdr:from>
      <xdr:col>0</xdr:col>
      <xdr:colOff>0</xdr:colOff>
      <xdr:row>10</xdr:row>
      <xdr:rowOff>22860</xdr:rowOff>
    </xdr:from>
    <xdr:to>
      <xdr:col>1</xdr:col>
      <xdr:colOff>1082040</xdr:colOff>
      <xdr:row>11</xdr:row>
      <xdr:rowOff>68580</xdr:rowOff>
    </xdr:to>
    <xdr:sp macro="" textlink="">
      <xdr:nvSpPr>
        <xdr:cNvPr id="11" name="TextBox 10">
          <a:extLst>
            <a:ext uri="{FF2B5EF4-FFF2-40B4-BE49-F238E27FC236}">
              <a16:creationId xmlns:a16="http://schemas.microsoft.com/office/drawing/2014/main" id="{E4BDDAF7-6B7B-4C97-9682-DE2BA94235AA}"/>
            </a:ext>
          </a:extLst>
        </xdr:cNvPr>
        <xdr:cNvSpPr txBox="1"/>
      </xdr:nvSpPr>
      <xdr:spPr>
        <a:xfrm>
          <a:off x="0" y="1851660"/>
          <a:ext cx="1356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 </a:t>
          </a:r>
          <a:r>
            <a:rPr lang="en-US" sz="1200">
              <a:solidFill>
                <a:schemeClr val="bg1"/>
              </a:solidFill>
              <a:latin typeface="+mj-lt"/>
            </a:rPr>
            <a:t>Amount</a:t>
          </a:r>
          <a:endParaRPr lang="en-IN" sz="1200">
            <a:solidFill>
              <a:schemeClr val="bg1"/>
            </a:solidFill>
            <a:latin typeface="+mj-lt"/>
          </a:endParaRPr>
        </a:p>
      </xdr:txBody>
    </xdr:sp>
    <xdr:clientData/>
  </xdr:twoCellAnchor>
  <xdr:twoCellAnchor>
    <xdr:from>
      <xdr:col>0</xdr:col>
      <xdr:colOff>0</xdr:colOff>
      <xdr:row>14</xdr:row>
      <xdr:rowOff>22860</xdr:rowOff>
    </xdr:from>
    <xdr:to>
      <xdr:col>1</xdr:col>
      <xdr:colOff>1082040</xdr:colOff>
      <xdr:row>15</xdr:row>
      <xdr:rowOff>68580</xdr:rowOff>
    </xdr:to>
    <xdr:sp macro="" textlink="">
      <xdr:nvSpPr>
        <xdr:cNvPr id="12" name="TextBox 11">
          <a:extLst>
            <a:ext uri="{FF2B5EF4-FFF2-40B4-BE49-F238E27FC236}">
              <a16:creationId xmlns:a16="http://schemas.microsoft.com/office/drawing/2014/main" id="{FF73615E-5EF3-49D2-B8A2-5E72C78BA4B8}"/>
            </a:ext>
          </a:extLst>
        </xdr:cNvPr>
        <xdr:cNvSpPr txBox="1"/>
      </xdr:nvSpPr>
      <xdr:spPr>
        <a:xfrm>
          <a:off x="0" y="2583180"/>
          <a:ext cx="1356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Display" panose="020B0004020202020204" pitchFamily="34" charset="0"/>
            </a:rPr>
            <a:t>⭐</a:t>
          </a:r>
          <a:r>
            <a:rPr lang="en-US" sz="1200" baseline="0">
              <a:solidFill>
                <a:schemeClr val="bg1"/>
              </a:solidFill>
              <a:latin typeface="Aptos Display" panose="020B0004020202020204" pitchFamily="34" charset="0"/>
            </a:rPr>
            <a:t> Ratings</a:t>
          </a:r>
          <a:endParaRPr lang="en-IN" sz="1200">
            <a:solidFill>
              <a:schemeClr val="bg1"/>
            </a:solidFill>
            <a:latin typeface="Aptos Display" panose="020B0004020202020204" pitchFamily="34" charset="0"/>
          </a:endParaRPr>
        </a:p>
      </xdr:txBody>
    </xdr:sp>
    <xdr:clientData/>
  </xdr:twoCellAnchor>
  <xdr:twoCellAnchor>
    <xdr:from>
      <xdr:col>0</xdr:col>
      <xdr:colOff>0</xdr:colOff>
      <xdr:row>18</xdr:row>
      <xdr:rowOff>22860</xdr:rowOff>
    </xdr:from>
    <xdr:to>
      <xdr:col>1</xdr:col>
      <xdr:colOff>1082040</xdr:colOff>
      <xdr:row>19</xdr:row>
      <xdr:rowOff>68580</xdr:rowOff>
    </xdr:to>
    <xdr:sp macro="" textlink="">
      <xdr:nvSpPr>
        <xdr:cNvPr id="13" name="TextBox 12">
          <a:extLst>
            <a:ext uri="{FF2B5EF4-FFF2-40B4-BE49-F238E27FC236}">
              <a16:creationId xmlns:a16="http://schemas.microsoft.com/office/drawing/2014/main" id="{491CF0B4-FF2F-472F-BADD-4D0DDA3B0A12}"/>
            </a:ext>
          </a:extLst>
        </xdr:cNvPr>
        <xdr:cNvSpPr txBox="1"/>
      </xdr:nvSpPr>
      <xdr:spPr>
        <a:xfrm>
          <a:off x="0" y="3314700"/>
          <a:ext cx="1356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 Days to </a:t>
          </a:r>
          <a:r>
            <a:rPr lang="en-US" sz="1200" baseline="0">
              <a:solidFill>
                <a:schemeClr val="bg1"/>
              </a:solidFill>
            </a:rPr>
            <a:t>Deliver</a:t>
          </a:r>
        </a:p>
        <a:p>
          <a:endParaRPr lang="en-IN" sz="1200">
            <a:solidFill>
              <a:schemeClr val="bg1"/>
            </a:solidFill>
          </a:endParaRPr>
        </a:p>
      </xdr:txBody>
    </xdr:sp>
    <xdr:clientData/>
  </xdr:twoCellAnchor>
  <xdr:twoCellAnchor>
    <xdr:from>
      <xdr:col>3</xdr:col>
      <xdr:colOff>121919</xdr:colOff>
      <xdr:row>0</xdr:row>
      <xdr:rowOff>137161</xdr:rowOff>
    </xdr:from>
    <xdr:to>
      <xdr:col>9</xdr:col>
      <xdr:colOff>600074</xdr:colOff>
      <xdr:row>15</xdr:row>
      <xdr:rowOff>123826</xdr:rowOff>
    </xdr:to>
    <xdr:graphicFrame macro="">
      <xdr:nvGraphicFramePr>
        <xdr:cNvPr id="15" name="Chart 14">
          <a:extLst>
            <a:ext uri="{FF2B5EF4-FFF2-40B4-BE49-F238E27FC236}">
              <a16:creationId xmlns:a16="http://schemas.microsoft.com/office/drawing/2014/main" id="{98699579-29D1-4D7C-8BCF-0153D155C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184461</xdr:colOff>
      <xdr:row>0</xdr:row>
      <xdr:rowOff>144781</xdr:rowOff>
    </xdr:from>
    <xdr:to>
      <xdr:col>17</xdr:col>
      <xdr:colOff>0</xdr:colOff>
      <xdr:row>15</xdr:row>
      <xdr:rowOff>142876</xdr:rowOff>
    </xdr:to>
    <xdr:sp macro="" textlink="">
      <xdr:nvSpPr>
        <xdr:cNvPr id="20" name="Rectangle 19">
          <a:extLst>
            <a:ext uri="{FF2B5EF4-FFF2-40B4-BE49-F238E27FC236}">
              <a16:creationId xmlns:a16="http://schemas.microsoft.com/office/drawing/2014/main" id="{1F50C699-060D-72A9-00A3-BCBF14633415}"/>
            </a:ext>
          </a:extLst>
        </xdr:cNvPr>
        <xdr:cNvSpPr/>
      </xdr:nvSpPr>
      <xdr:spPr>
        <a:xfrm>
          <a:off x="6375711" y="144781"/>
          <a:ext cx="4082739" cy="27127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123825</xdr:colOff>
      <xdr:row>16</xdr:row>
      <xdr:rowOff>104775</xdr:rowOff>
    </xdr:from>
    <xdr:to>
      <xdr:col>10</xdr:col>
      <xdr:colOff>9525</xdr:colOff>
      <xdr:row>46</xdr:row>
      <xdr:rowOff>66675</xdr:rowOff>
    </xdr:to>
    <xdr:graphicFrame macro="">
      <xdr:nvGraphicFramePr>
        <xdr:cNvPr id="24" name="Chart 23">
          <a:extLst>
            <a:ext uri="{FF2B5EF4-FFF2-40B4-BE49-F238E27FC236}">
              <a16:creationId xmlns:a16="http://schemas.microsoft.com/office/drawing/2014/main" id="{45320DAC-AF46-4F4B-832C-B9B283F6A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34</xdr:row>
      <xdr:rowOff>47624</xdr:rowOff>
    </xdr:from>
    <xdr:to>
      <xdr:col>7</xdr:col>
      <xdr:colOff>352424</xdr:colOff>
      <xdr:row>44</xdr:row>
      <xdr:rowOff>121919</xdr:rowOff>
    </xdr:to>
    <xdr:graphicFrame macro="">
      <xdr:nvGraphicFramePr>
        <xdr:cNvPr id="25" name="Chart 24">
          <a:extLst>
            <a:ext uri="{FF2B5EF4-FFF2-40B4-BE49-F238E27FC236}">
              <a16:creationId xmlns:a16="http://schemas.microsoft.com/office/drawing/2014/main" id="{6B7437FF-9500-4F06-A318-1AAB276C6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209550</xdr:colOff>
      <xdr:row>16</xdr:row>
      <xdr:rowOff>38100</xdr:rowOff>
    </xdr:from>
    <xdr:to>
      <xdr:col>24</xdr:col>
      <xdr:colOff>514350</xdr:colOff>
      <xdr:row>31</xdr:row>
      <xdr:rowOff>85725</xdr:rowOff>
    </xdr:to>
    <xdr:graphicFrame macro="">
      <xdr:nvGraphicFramePr>
        <xdr:cNvPr id="14" name="Chart 13">
          <a:extLst>
            <a:ext uri="{FF2B5EF4-FFF2-40B4-BE49-F238E27FC236}">
              <a16:creationId xmlns:a16="http://schemas.microsoft.com/office/drawing/2014/main" id="{980F8709-94AF-4F1A-A02A-5C05470BB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196215</xdr:colOff>
      <xdr:row>0</xdr:row>
      <xdr:rowOff>152399</xdr:rowOff>
    </xdr:from>
    <xdr:to>
      <xdr:col>24</xdr:col>
      <xdr:colOff>501015</xdr:colOff>
      <xdr:row>15</xdr:row>
      <xdr:rowOff>38100</xdr:rowOff>
    </xdr:to>
    <xdr:graphicFrame macro="">
      <xdr:nvGraphicFramePr>
        <xdr:cNvPr id="16" name="Chart 15">
          <a:extLst>
            <a:ext uri="{FF2B5EF4-FFF2-40B4-BE49-F238E27FC236}">
              <a16:creationId xmlns:a16="http://schemas.microsoft.com/office/drawing/2014/main" id="{676F5079-BF14-4B74-BE53-C11BC1899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196214</xdr:colOff>
      <xdr:row>32</xdr:row>
      <xdr:rowOff>47625</xdr:rowOff>
    </xdr:from>
    <xdr:to>
      <xdr:col>24</xdr:col>
      <xdr:colOff>542925</xdr:colOff>
      <xdr:row>46</xdr:row>
      <xdr:rowOff>76200</xdr:rowOff>
    </xdr:to>
    <xdr:graphicFrame macro="">
      <xdr:nvGraphicFramePr>
        <xdr:cNvPr id="17" name="Chart 16">
          <a:extLst>
            <a:ext uri="{FF2B5EF4-FFF2-40B4-BE49-F238E27FC236}">
              <a16:creationId xmlns:a16="http://schemas.microsoft.com/office/drawing/2014/main" id="{633E2AD1-F781-4B6E-B0A6-41D81B72D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161925</xdr:colOff>
      <xdr:row>16</xdr:row>
      <xdr:rowOff>142875</xdr:rowOff>
    </xdr:from>
    <xdr:to>
      <xdr:col>17</xdr:col>
      <xdr:colOff>28575</xdr:colOff>
      <xdr:row>46</xdr:row>
      <xdr:rowOff>47625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A0EBF124-0E02-4A22-8985-FF4D4FA339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349365" y="3068955"/>
              <a:ext cx="4133850" cy="5391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104775</xdr:colOff>
      <xdr:row>22</xdr:row>
      <xdr:rowOff>85725</xdr:rowOff>
    </xdr:from>
    <xdr:to>
      <xdr:col>2</xdr:col>
      <xdr:colOff>180975</xdr:colOff>
      <xdr:row>35</xdr:row>
      <xdr:rowOff>110490</xdr:rowOff>
    </xdr:to>
    <mc:AlternateContent xmlns:mc="http://schemas.openxmlformats.org/markup-compatibility/2006" xmlns:a14="http://schemas.microsoft.com/office/drawing/2010/main">
      <mc:Choice Requires="a14">
        <xdr:graphicFrame macro="">
          <xdr:nvGraphicFramePr>
            <xdr:cNvPr id="30" name="Order Mode 1">
              <a:extLst>
                <a:ext uri="{FF2B5EF4-FFF2-40B4-BE49-F238E27FC236}">
                  <a16:creationId xmlns:a16="http://schemas.microsoft.com/office/drawing/2014/main" id="{E5B90637-CD33-45FE-BB63-E6559566FEB5}"/>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04775" y="4067175"/>
              <a:ext cx="1724025" cy="2377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36</xdr:row>
      <xdr:rowOff>133350</xdr:rowOff>
    </xdr:from>
    <xdr:to>
      <xdr:col>2</xdr:col>
      <xdr:colOff>180975</xdr:colOff>
      <xdr:row>47</xdr:row>
      <xdr:rowOff>154305</xdr:rowOff>
    </xdr:to>
    <mc:AlternateContent xmlns:mc="http://schemas.openxmlformats.org/markup-compatibility/2006" xmlns:a14="http://schemas.microsoft.com/office/drawing/2010/main">
      <mc:Choice Requires="a14">
        <xdr:graphicFrame macro="">
          <xdr:nvGraphicFramePr>
            <xdr:cNvPr id="31" name="Gender Value 1">
              <a:extLst>
                <a:ext uri="{FF2B5EF4-FFF2-40B4-BE49-F238E27FC236}">
                  <a16:creationId xmlns:a16="http://schemas.microsoft.com/office/drawing/2014/main" id="{75D09F08-440B-460A-A0AD-70597C2826A8}"/>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95250" y="6648450"/>
              <a:ext cx="173355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238125</xdr:colOff>
      <xdr:row>2</xdr:row>
      <xdr:rowOff>95250</xdr:rowOff>
    </xdr:from>
    <xdr:to>
      <xdr:col>16</xdr:col>
      <xdr:colOff>542925</xdr:colOff>
      <xdr:row>14</xdr:row>
      <xdr:rowOff>114300</xdr:rowOff>
    </xdr:to>
    <xdr:pic>
      <xdr:nvPicPr>
        <xdr:cNvPr id="19" name="Picture 18">
          <a:extLst>
            <a:ext uri="{FF2B5EF4-FFF2-40B4-BE49-F238E27FC236}">
              <a16:creationId xmlns:a16="http://schemas.microsoft.com/office/drawing/2014/main" id="{D23C24C3-80A3-2ECC-F9F2-BFE8CE349F8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429375" y="457200"/>
          <a:ext cx="3962400"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438150</xdr:colOff>
      <xdr:row>1</xdr:row>
      <xdr:rowOff>9525</xdr:rowOff>
    </xdr:from>
    <xdr:to>
      <xdr:col>15</xdr:col>
      <xdr:colOff>523875</xdr:colOff>
      <xdr:row>2</xdr:row>
      <xdr:rowOff>152400</xdr:rowOff>
    </xdr:to>
    <xdr:sp macro="" textlink="">
      <xdr:nvSpPr>
        <xdr:cNvPr id="21" name="TextBox 20">
          <a:extLst>
            <a:ext uri="{FF2B5EF4-FFF2-40B4-BE49-F238E27FC236}">
              <a16:creationId xmlns:a16="http://schemas.microsoft.com/office/drawing/2014/main" id="{9BAC5994-0527-C54E-66C0-47E30ADABDA0}"/>
            </a:ext>
          </a:extLst>
        </xdr:cNvPr>
        <xdr:cNvSpPr txBox="1"/>
      </xdr:nvSpPr>
      <xdr:spPr>
        <a:xfrm>
          <a:off x="7239000" y="190500"/>
          <a:ext cx="2524125"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50000"/>
                  <a:lumOff val="50000"/>
                </a:schemeClr>
              </a:solidFill>
              <a:latin typeface="+mn-lt"/>
            </a:rPr>
            <a:t>How our customers like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Nimbalkar" refreshedDate="46105.477705902777" createdVersion="8" refreshedVersion="8" minRefreshableVersion="3" recordCount="2400" xr:uid="{ACF2B93A-56E2-4323-B50D-E01BF220C151}">
  <cacheSource type="worksheet">
    <worksheetSource name="orders"/>
  </cacheSource>
  <cacheFields count="20">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FEMALE"/>
        <s v="MALE"/>
        <s v="UNKNOWN"/>
        <s v="OTHERS"/>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1/2025"/>
        </groupItems>
      </fieldGroup>
    </cacheField>
    <cacheField name="Months (Ship Date)" numFmtId="0" databaseField="0">
      <fieldGroup base="6">
        <rangePr groupBy="months" startDate="2025-01-02T00:00:00" endDate="2025-04-11T00:00:00"/>
        <groupItems count="14">
          <s v="&lt;1/2/2025"/>
          <s v="Jan"/>
          <s v="Feb"/>
          <s v="Mar"/>
          <s v="Apr"/>
          <s v="May"/>
          <s v="Jun"/>
          <s v="Jul"/>
          <s v="Aug"/>
          <s v="Sep"/>
          <s v="Oct"/>
          <s v="Nov"/>
          <s v="Dec"/>
          <s v="&gt;4/11/2025"/>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548105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x v="0"/>
    <x v="0"/>
    <x v="0"/>
    <x v="0"/>
    <x v="0"/>
    <n v="5"/>
    <x v="0"/>
    <x v="0"/>
  </r>
  <r>
    <x v="1"/>
    <x v="1"/>
    <x v="1"/>
    <n v="30.6"/>
    <n v="61.2"/>
    <x v="0"/>
    <x v="1"/>
    <x v="1"/>
    <x v="0"/>
    <x v="0"/>
    <x v="0"/>
    <x v="1"/>
    <n v="2"/>
    <x v="0"/>
    <x v="1"/>
  </r>
  <r>
    <x v="2"/>
    <x v="2"/>
    <x v="2"/>
    <n v="109.4"/>
    <n v="328.20000000000005"/>
    <x v="0"/>
    <x v="2"/>
    <x v="2"/>
    <x v="0"/>
    <x v="1"/>
    <x v="0"/>
    <x v="2"/>
    <n v="3"/>
    <x v="0"/>
    <x v="2"/>
  </r>
  <r>
    <x v="3"/>
    <x v="3"/>
    <x v="3"/>
    <n v="37.700000000000003"/>
    <n v="263.90000000000003"/>
    <x v="0"/>
    <x v="3"/>
    <x v="2"/>
    <x v="0"/>
    <x v="0"/>
    <x v="0"/>
    <x v="2"/>
    <n v="1"/>
    <x v="0"/>
    <x v="2"/>
  </r>
  <r>
    <x v="4"/>
    <x v="4"/>
    <x v="2"/>
    <n v="56.7"/>
    <n v="170.10000000000002"/>
    <x v="0"/>
    <x v="2"/>
    <x v="2"/>
    <x v="0"/>
    <x v="2"/>
    <x v="0"/>
    <x v="3"/>
    <n v="3"/>
    <x v="0"/>
    <x v="2"/>
  </r>
  <r>
    <x v="5"/>
    <x v="1"/>
    <x v="4"/>
    <n v="83.5"/>
    <n v="1002"/>
    <x v="0"/>
    <x v="2"/>
    <x v="1"/>
    <x v="1"/>
    <x v="0"/>
    <x v="0"/>
    <x v="3"/>
    <n v="3"/>
    <x v="0"/>
    <x v="1"/>
  </r>
  <r>
    <x v="6"/>
    <x v="5"/>
    <x v="0"/>
    <n v="55.3"/>
    <n v="55.3"/>
    <x v="0"/>
    <x v="3"/>
    <x v="2"/>
    <x v="0"/>
    <x v="0"/>
    <x v="0"/>
    <x v="3"/>
    <n v="1"/>
    <x v="0"/>
    <x v="2"/>
  </r>
  <r>
    <x v="7"/>
    <x v="6"/>
    <x v="1"/>
    <n v="40.299999999999997"/>
    <n v="80.599999999999994"/>
    <x v="0"/>
    <x v="3"/>
    <x v="1"/>
    <x v="2"/>
    <x v="2"/>
    <x v="0"/>
    <x v="3"/>
    <n v="1"/>
    <x v="0"/>
    <x v="1"/>
  </r>
  <r>
    <x v="8"/>
    <x v="7"/>
    <x v="5"/>
    <n v="35.700000000000003"/>
    <n v="392.70000000000005"/>
    <x v="0"/>
    <x v="3"/>
    <x v="2"/>
    <x v="0"/>
    <x v="0"/>
    <x v="0"/>
    <x v="3"/>
    <n v="1"/>
    <x v="0"/>
    <x v="2"/>
  </r>
  <r>
    <x v="9"/>
    <x v="8"/>
    <x v="3"/>
    <n v="22.4"/>
    <n v="156.79999999999998"/>
    <x v="0"/>
    <x v="2"/>
    <x v="1"/>
    <x v="0"/>
    <x v="1"/>
    <x v="0"/>
    <x v="3"/>
    <n v="3"/>
    <x v="0"/>
    <x v="1"/>
  </r>
  <r>
    <x v="10"/>
    <x v="9"/>
    <x v="1"/>
    <n v="54.4"/>
    <n v="108.8"/>
    <x v="0"/>
    <x v="4"/>
    <x v="2"/>
    <x v="0"/>
    <x v="0"/>
    <x v="0"/>
    <x v="3"/>
    <n v="6"/>
    <x v="0"/>
    <x v="2"/>
  </r>
  <r>
    <x v="11"/>
    <x v="9"/>
    <x v="1"/>
    <n v="49"/>
    <n v="98"/>
    <x v="0"/>
    <x v="1"/>
    <x v="2"/>
    <x v="2"/>
    <x v="1"/>
    <x v="0"/>
    <x v="3"/>
    <n v="2"/>
    <x v="0"/>
    <x v="2"/>
  </r>
  <r>
    <x v="12"/>
    <x v="5"/>
    <x v="3"/>
    <n v="118.6"/>
    <n v="830.19999999999993"/>
    <x v="0"/>
    <x v="5"/>
    <x v="2"/>
    <x v="1"/>
    <x v="0"/>
    <x v="0"/>
    <x v="4"/>
    <n v="4"/>
    <x v="0"/>
    <x v="2"/>
  </r>
  <r>
    <x v="13"/>
    <x v="6"/>
    <x v="6"/>
    <n v="88.4"/>
    <n v="2386.8000000000002"/>
    <x v="0"/>
    <x v="6"/>
    <x v="1"/>
    <x v="3"/>
    <x v="0"/>
    <x v="0"/>
    <x v="5"/>
    <n v="7"/>
    <x v="0"/>
    <x v="1"/>
  </r>
  <r>
    <x v="14"/>
    <x v="10"/>
    <x v="0"/>
    <n v="66.7"/>
    <n v="66.7"/>
    <x v="0"/>
    <x v="2"/>
    <x v="1"/>
    <x v="0"/>
    <x v="0"/>
    <x v="0"/>
    <x v="6"/>
    <n v="3"/>
    <x v="0"/>
    <x v="1"/>
  </r>
  <r>
    <x v="15"/>
    <x v="9"/>
    <x v="7"/>
    <n v="30.9"/>
    <n v="309"/>
    <x v="0"/>
    <x v="3"/>
    <x v="1"/>
    <x v="1"/>
    <x v="2"/>
    <x v="0"/>
    <x v="6"/>
    <n v="1"/>
    <x v="0"/>
    <x v="1"/>
  </r>
  <r>
    <x v="16"/>
    <x v="4"/>
    <x v="2"/>
    <n v="31.1"/>
    <n v="93.300000000000011"/>
    <x v="0"/>
    <x v="3"/>
    <x v="2"/>
    <x v="0"/>
    <x v="1"/>
    <x v="0"/>
    <x v="6"/>
    <n v="1"/>
    <x v="0"/>
    <x v="2"/>
  </r>
  <r>
    <x v="17"/>
    <x v="7"/>
    <x v="2"/>
    <n v="36.6"/>
    <n v="109.80000000000001"/>
    <x v="0"/>
    <x v="2"/>
    <x v="2"/>
    <x v="0"/>
    <x v="0"/>
    <x v="0"/>
    <x v="7"/>
    <n v="3"/>
    <x v="0"/>
    <x v="2"/>
  </r>
  <r>
    <x v="18"/>
    <x v="6"/>
    <x v="8"/>
    <n v="51.1"/>
    <n v="408.8"/>
    <x v="0"/>
    <x v="2"/>
    <x v="2"/>
    <x v="2"/>
    <x v="3"/>
    <x v="0"/>
    <x v="7"/>
    <n v="3"/>
    <x v="0"/>
    <x v="2"/>
  </r>
  <r>
    <x v="19"/>
    <x v="9"/>
    <x v="0"/>
    <n v="25.2"/>
    <n v="25.2"/>
    <x v="0"/>
    <x v="3"/>
    <x v="2"/>
    <x v="1"/>
    <x v="2"/>
    <x v="0"/>
    <x v="8"/>
    <n v="1"/>
    <x v="0"/>
    <x v="2"/>
  </r>
  <r>
    <x v="20"/>
    <x v="9"/>
    <x v="9"/>
    <n v="43.8"/>
    <n v="219"/>
    <x v="0"/>
    <x v="2"/>
    <x v="2"/>
    <x v="2"/>
    <x v="0"/>
    <x v="0"/>
    <x v="8"/>
    <n v="3"/>
    <x v="0"/>
    <x v="2"/>
  </r>
  <r>
    <x v="21"/>
    <x v="8"/>
    <x v="4"/>
    <n v="46.7"/>
    <n v="560.40000000000009"/>
    <x v="0"/>
    <x v="3"/>
    <x v="2"/>
    <x v="1"/>
    <x v="1"/>
    <x v="0"/>
    <x v="8"/>
    <n v="1"/>
    <x v="0"/>
    <x v="2"/>
  </r>
  <r>
    <x v="22"/>
    <x v="3"/>
    <x v="10"/>
    <n v="79.900000000000006"/>
    <n v="1518.1000000000001"/>
    <x v="0"/>
    <x v="3"/>
    <x v="1"/>
    <x v="0"/>
    <x v="2"/>
    <x v="0"/>
    <x v="8"/>
    <n v="1"/>
    <x v="0"/>
    <x v="1"/>
  </r>
  <r>
    <x v="23"/>
    <x v="11"/>
    <x v="8"/>
    <n v="26.4"/>
    <n v="211.2"/>
    <x v="0"/>
    <x v="3"/>
    <x v="2"/>
    <x v="3"/>
    <x v="0"/>
    <x v="0"/>
    <x v="8"/>
    <n v="1"/>
    <x v="0"/>
    <x v="2"/>
  </r>
  <r>
    <x v="24"/>
    <x v="12"/>
    <x v="8"/>
    <n v="88.8"/>
    <n v="710.4"/>
    <x v="0"/>
    <x v="3"/>
    <x v="2"/>
    <x v="4"/>
    <x v="0"/>
    <x v="0"/>
    <x v="8"/>
    <n v="1"/>
    <x v="0"/>
    <x v="2"/>
  </r>
  <r>
    <x v="25"/>
    <x v="0"/>
    <x v="7"/>
    <n v="17.5"/>
    <n v="175"/>
    <x v="0"/>
    <x v="3"/>
    <x v="2"/>
    <x v="2"/>
    <x v="0"/>
    <x v="0"/>
    <x v="9"/>
    <n v="1"/>
    <x v="0"/>
    <x v="2"/>
  </r>
  <r>
    <x v="26"/>
    <x v="1"/>
    <x v="11"/>
    <n v="38.700000000000003"/>
    <n v="348.3"/>
    <x v="0"/>
    <x v="2"/>
    <x v="1"/>
    <x v="1"/>
    <x v="0"/>
    <x v="0"/>
    <x v="10"/>
    <n v="3"/>
    <x v="0"/>
    <x v="1"/>
  </r>
  <r>
    <x v="27"/>
    <x v="13"/>
    <x v="12"/>
    <n v="57.2"/>
    <n v="228.8"/>
    <x v="0"/>
    <x v="1"/>
    <x v="0"/>
    <x v="1"/>
    <x v="2"/>
    <x v="0"/>
    <x v="11"/>
    <n v="2"/>
    <x v="0"/>
    <x v="0"/>
  </r>
  <r>
    <x v="28"/>
    <x v="6"/>
    <x v="9"/>
    <n v="50.9"/>
    <n v="254.5"/>
    <x v="0"/>
    <x v="4"/>
    <x v="0"/>
    <x v="1"/>
    <x v="2"/>
    <x v="0"/>
    <x v="12"/>
    <n v="6"/>
    <x v="0"/>
    <x v="0"/>
  </r>
  <r>
    <x v="29"/>
    <x v="14"/>
    <x v="3"/>
    <n v="41"/>
    <n v="287"/>
    <x v="0"/>
    <x v="5"/>
    <x v="2"/>
    <x v="1"/>
    <x v="0"/>
    <x v="0"/>
    <x v="13"/>
    <n v="4"/>
    <x v="0"/>
    <x v="2"/>
  </r>
  <r>
    <x v="30"/>
    <x v="8"/>
    <x v="3"/>
    <n v="19.100000000000001"/>
    <n v="133.70000000000002"/>
    <x v="0"/>
    <x v="5"/>
    <x v="1"/>
    <x v="0"/>
    <x v="2"/>
    <x v="0"/>
    <x v="14"/>
    <n v="4"/>
    <x v="0"/>
    <x v="1"/>
  </r>
  <r>
    <x v="31"/>
    <x v="2"/>
    <x v="9"/>
    <n v="166.1"/>
    <n v="830.5"/>
    <x v="0"/>
    <x v="2"/>
    <x v="1"/>
    <x v="0"/>
    <x v="0"/>
    <x v="0"/>
    <x v="15"/>
    <n v="3"/>
    <x v="0"/>
    <x v="1"/>
  </r>
  <r>
    <x v="32"/>
    <x v="4"/>
    <x v="2"/>
    <n v="29.9"/>
    <n v="89.699999999999989"/>
    <x v="0"/>
    <x v="3"/>
    <x v="1"/>
    <x v="3"/>
    <x v="0"/>
    <x v="0"/>
    <x v="3"/>
    <n v="1"/>
    <x v="0"/>
    <x v="1"/>
  </r>
  <r>
    <x v="33"/>
    <x v="10"/>
    <x v="13"/>
    <n v="21.7"/>
    <n v="130.19999999999999"/>
    <x v="0"/>
    <x v="1"/>
    <x v="3"/>
    <x v="2"/>
    <x v="2"/>
    <x v="0"/>
    <x v="3"/>
    <n v="2"/>
    <x v="0"/>
    <x v="3"/>
  </r>
  <r>
    <x v="34"/>
    <x v="11"/>
    <x v="1"/>
    <n v="32"/>
    <n v="64"/>
    <x v="0"/>
    <x v="2"/>
    <x v="1"/>
    <x v="0"/>
    <x v="2"/>
    <x v="0"/>
    <x v="3"/>
    <n v="3"/>
    <x v="0"/>
    <x v="1"/>
  </r>
  <r>
    <x v="35"/>
    <x v="8"/>
    <x v="1"/>
    <n v="15.8"/>
    <n v="31.6"/>
    <x v="0"/>
    <x v="3"/>
    <x v="1"/>
    <x v="4"/>
    <x v="2"/>
    <x v="0"/>
    <x v="3"/>
    <n v="1"/>
    <x v="0"/>
    <x v="1"/>
  </r>
  <r>
    <x v="36"/>
    <x v="2"/>
    <x v="14"/>
    <n v="203.1"/>
    <n v="3452.7"/>
    <x v="0"/>
    <x v="5"/>
    <x v="1"/>
    <x v="3"/>
    <x v="1"/>
    <x v="0"/>
    <x v="3"/>
    <n v="4"/>
    <x v="0"/>
    <x v="1"/>
  </r>
  <r>
    <x v="37"/>
    <x v="7"/>
    <x v="15"/>
    <n v="39"/>
    <n v="507"/>
    <x v="0"/>
    <x v="4"/>
    <x v="1"/>
    <x v="0"/>
    <x v="2"/>
    <x v="0"/>
    <x v="3"/>
    <n v="6"/>
    <x v="0"/>
    <x v="1"/>
  </r>
  <r>
    <x v="38"/>
    <x v="10"/>
    <x v="0"/>
    <n v="26.5"/>
    <n v="26.5"/>
    <x v="1"/>
    <x v="1"/>
    <x v="1"/>
    <x v="2"/>
    <x v="0"/>
    <x v="0"/>
    <x v="3"/>
    <n v="1"/>
    <x v="0"/>
    <x v="1"/>
  </r>
  <r>
    <x v="39"/>
    <x v="5"/>
    <x v="0"/>
    <n v="43.1"/>
    <n v="43.1"/>
    <x v="1"/>
    <x v="1"/>
    <x v="2"/>
    <x v="2"/>
    <x v="1"/>
    <x v="0"/>
    <x v="3"/>
    <n v="1"/>
    <x v="0"/>
    <x v="2"/>
  </r>
  <r>
    <x v="40"/>
    <x v="1"/>
    <x v="2"/>
    <n v="139"/>
    <n v="417"/>
    <x v="1"/>
    <x v="1"/>
    <x v="2"/>
    <x v="4"/>
    <x v="2"/>
    <x v="0"/>
    <x v="3"/>
    <n v="1"/>
    <x v="0"/>
    <x v="2"/>
  </r>
  <r>
    <x v="41"/>
    <x v="12"/>
    <x v="0"/>
    <n v="80.7"/>
    <n v="80.7"/>
    <x v="1"/>
    <x v="1"/>
    <x v="1"/>
    <x v="0"/>
    <x v="2"/>
    <x v="0"/>
    <x v="16"/>
    <n v="1"/>
    <x v="0"/>
    <x v="1"/>
  </r>
  <r>
    <x v="42"/>
    <x v="4"/>
    <x v="1"/>
    <n v="54.5"/>
    <n v="109"/>
    <x v="1"/>
    <x v="2"/>
    <x v="1"/>
    <x v="1"/>
    <x v="1"/>
    <x v="0"/>
    <x v="6"/>
    <n v="2"/>
    <x v="0"/>
    <x v="1"/>
  </r>
  <r>
    <x v="43"/>
    <x v="6"/>
    <x v="2"/>
    <n v="68.599999999999994"/>
    <n v="205.79999999999998"/>
    <x v="1"/>
    <x v="3"/>
    <x v="2"/>
    <x v="0"/>
    <x v="1"/>
    <x v="0"/>
    <x v="8"/>
    <n v="0"/>
    <x v="0"/>
    <x v="2"/>
  </r>
  <r>
    <x v="44"/>
    <x v="2"/>
    <x v="12"/>
    <n v="135.9"/>
    <n v="543.6"/>
    <x v="1"/>
    <x v="1"/>
    <x v="2"/>
    <x v="2"/>
    <x v="2"/>
    <x v="0"/>
    <x v="8"/>
    <n v="1"/>
    <x v="0"/>
    <x v="2"/>
  </r>
  <r>
    <x v="45"/>
    <x v="2"/>
    <x v="12"/>
    <n v="70.900000000000006"/>
    <n v="283.60000000000002"/>
    <x v="1"/>
    <x v="1"/>
    <x v="2"/>
    <x v="0"/>
    <x v="0"/>
    <x v="0"/>
    <x v="17"/>
    <n v="1"/>
    <x v="0"/>
    <x v="2"/>
  </r>
  <r>
    <x v="46"/>
    <x v="1"/>
    <x v="9"/>
    <n v="63.7"/>
    <n v="318.5"/>
    <x v="1"/>
    <x v="1"/>
    <x v="1"/>
    <x v="1"/>
    <x v="1"/>
    <x v="0"/>
    <x v="9"/>
    <n v="1"/>
    <x v="0"/>
    <x v="1"/>
  </r>
  <r>
    <x v="47"/>
    <x v="13"/>
    <x v="0"/>
    <n v="29.7"/>
    <n v="29.7"/>
    <x v="1"/>
    <x v="2"/>
    <x v="2"/>
    <x v="1"/>
    <x v="0"/>
    <x v="0"/>
    <x v="11"/>
    <n v="2"/>
    <x v="0"/>
    <x v="2"/>
  </r>
  <r>
    <x v="48"/>
    <x v="4"/>
    <x v="2"/>
    <n v="26.8"/>
    <n v="80.400000000000006"/>
    <x v="1"/>
    <x v="7"/>
    <x v="2"/>
    <x v="1"/>
    <x v="2"/>
    <x v="0"/>
    <x v="11"/>
    <n v="9"/>
    <x v="0"/>
    <x v="2"/>
  </r>
  <r>
    <x v="49"/>
    <x v="14"/>
    <x v="0"/>
    <n v="27"/>
    <n v="27"/>
    <x v="1"/>
    <x v="2"/>
    <x v="2"/>
    <x v="0"/>
    <x v="0"/>
    <x v="0"/>
    <x v="18"/>
    <n v="2"/>
    <x v="0"/>
    <x v="2"/>
  </r>
  <r>
    <x v="50"/>
    <x v="8"/>
    <x v="0"/>
    <n v="41.4"/>
    <n v="41.4"/>
    <x v="1"/>
    <x v="1"/>
    <x v="1"/>
    <x v="1"/>
    <x v="2"/>
    <x v="0"/>
    <x v="19"/>
    <n v="1"/>
    <x v="0"/>
    <x v="1"/>
  </r>
  <r>
    <x v="51"/>
    <x v="8"/>
    <x v="1"/>
    <n v="24.3"/>
    <n v="48.6"/>
    <x v="1"/>
    <x v="5"/>
    <x v="2"/>
    <x v="1"/>
    <x v="0"/>
    <x v="0"/>
    <x v="19"/>
    <n v="3"/>
    <x v="0"/>
    <x v="2"/>
  </r>
  <r>
    <x v="52"/>
    <x v="8"/>
    <x v="2"/>
    <n v="41.7"/>
    <n v="125.10000000000001"/>
    <x v="1"/>
    <x v="2"/>
    <x v="1"/>
    <x v="0"/>
    <x v="2"/>
    <x v="0"/>
    <x v="20"/>
    <n v="2"/>
    <x v="0"/>
    <x v="1"/>
  </r>
  <r>
    <x v="53"/>
    <x v="0"/>
    <x v="1"/>
    <n v="18"/>
    <n v="36"/>
    <x v="1"/>
    <x v="1"/>
    <x v="2"/>
    <x v="0"/>
    <x v="2"/>
    <x v="0"/>
    <x v="21"/>
    <n v="1"/>
    <x v="0"/>
    <x v="2"/>
  </r>
  <r>
    <x v="54"/>
    <x v="7"/>
    <x v="2"/>
    <n v="91.3"/>
    <n v="273.89999999999998"/>
    <x v="1"/>
    <x v="5"/>
    <x v="1"/>
    <x v="2"/>
    <x v="2"/>
    <x v="0"/>
    <x v="3"/>
    <n v="3"/>
    <x v="0"/>
    <x v="1"/>
  </r>
  <r>
    <x v="55"/>
    <x v="8"/>
    <x v="8"/>
    <n v="19.3"/>
    <n v="154.4"/>
    <x v="1"/>
    <x v="1"/>
    <x v="1"/>
    <x v="0"/>
    <x v="0"/>
    <x v="0"/>
    <x v="3"/>
    <n v="1"/>
    <x v="0"/>
    <x v="1"/>
  </r>
  <r>
    <x v="56"/>
    <x v="12"/>
    <x v="15"/>
    <n v="63.2"/>
    <n v="821.6"/>
    <x v="1"/>
    <x v="1"/>
    <x v="2"/>
    <x v="0"/>
    <x v="0"/>
    <x v="0"/>
    <x v="3"/>
    <n v="1"/>
    <x v="0"/>
    <x v="2"/>
  </r>
  <r>
    <x v="57"/>
    <x v="10"/>
    <x v="11"/>
    <n v="33.299999999999997"/>
    <n v="299.7"/>
    <x v="2"/>
    <x v="7"/>
    <x v="2"/>
    <x v="0"/>
    <x v="2"/>
    <x v="0"/>
    <x v="3"/>
    <n v="8"/>
    <x v="0"/>
    <x v="2"/>
  </r>
  <r>
    <x v="58"/>
    <x v="7"/>
    <x v="1"/>
    <n v="64.2"/>
    <n v="128.4"/>
    <x v="2"/>
    <x v="2"/>
    <x v="1"/>
    <x v="0"/>
    <x v="2"/>
    <x v="0"/>
    <x v="3"/>
    <n v="1"/>
    <x v="0"/>
    <x v="1"/>
  </r>
  <r>
    <x v="59"/>
    <x v="9"/>
    <x v="2"/>
    <n v="23.1"/>
    <n v="69.300000000000011"/>
    <x v="2"/>
    <x v="0"/>
    <x v="2"/>
    <x v="1"/>
    <x v="2"/>
    <x v="0"/>
    <x v="3"/>
    <n v="3"/>
    <x v="0"/>
    <x v="2"/>
  </r>
  <r>
    <x v="60"/>
    <x v="15"/>
    <x v="1"/>
    <n v="71.099999999999994"/>
    <n v="142.19999999999999"/>
    <x v="2"/>
    <x v="5"/>
    <x v="2"/>
    <x v="3"/>
    <x v="1"/>
    <x v="0"/>
    <x v="3"/>
    <n v="2"/>
    <x v="0"/>
    <x v="2"/>
  </r>
  <r>
    <x v="61"/>
    <x v="0"/>
    <x v="1"/>
    <n v="11.5"/>
    <n v="23"/>
    <x v="2"/>
    <x v="2"/>
    <x v="2"/>
    <x v="0"/>
    <x v="0"/>
    <x v="0"/>
    <x v="3"/>
    <n v="1"/>
    <x v="0"/>
    <x v="2"/>
  </r>
  <r>
    <x v="62"/>
    <x v="15"/>
    <x v="10"/>
    <n v="69.2"/>
    <n v="1314.8"/>
    <x v="2"/>
    <x v="6"/>
    <x v="2"/>
    <x v="0"/>
    <x v="0"/>
    <x v="0"/>
    <x v="3"/>
    <n v="5"/>
    <x v="0"/>
    <x v="2"/>
  </r>
  <r>
    <x v="63"/>
    <x v="0"/>
    <x v="0"/>
    <n v="26.8"/>
    <n v="26.8"/>
    <x v="2"/>
    <x v="2"/>
    <x v="1"/>
    <x v="2"/>
    <x v="4"/>
    <x v="0"/>
    <x v="3"/>
    <n v="1"/>
    <x v="0"/>
    <x v="1"/>
  </r>
  <r>
    <x v="64"/>
    <x v="16"/>
    <x v="2"/>
    <n v="31.2"/>
    <n v="93.6"/>
    <x v="2"/>
    <x v="0"/>
    <x v="2"/>
    <x v="0"/>
    <x v="0"/>
    <x v="0"/>
    <x v="3"/>
    <n v="3"/>
    <x v="0"/>
    <x v="2"/>
  </r>
  <r>
    <x v="65"/>
    <x v="12"/>
    <x v="1"/>
    <n v="113.2"/>
    <n v="226.4"/>
    <x v="2"/>
    <x v="2"/>
    <x v="2"/>
    <x v="4"/>
    <x v="0"/>
    <x v="0"/>
    <x v="3"/>
    <n v="1"/>
    <x v="0"/>
    <x v="2"/>
  </r>
  <r>
    <x v="66"/>
    <x v="10"/>
    <x v="8"/>
    <n v="21"/>
    <n v="168"/>
    <x v="2"/>
    <x v="2"/>
    <x v="1"/>
    <x v="0"/>
    <x v="0"/>
    <x v="0"/>
    <x v="6"/>
    <n v="1"/>
    <x v="0"/>
    <x v="1"/>
  </r>
  <r>
    <x v="67"/>
    <x v="1"/>
    <x v="1"/>
    <n v="89.1"/>
    <n v="178.2"/>
    <x v="2"/>
    <x v="2"/>
    <x v="2"/>
    <x v="2"/>
    <x v="2"/>
    <x v="0"/>
    <x v="6"/>
    <n v="1"/>
    <x v="0"/>
    <x v="2"/>
  </r>
  <r>
    <x v="68"/>
    <x v="1"/>
    <x v="0"/>
    <n v="97.7"/>
    <n v="97.7"/>
    <x v="2"/>
    <x v="5"/>
    <x v="2"/>
    <x v="0"/>
    <x v="1"/>
    <x v="0"/>
    <x v="6"/>
    <n v="2"/>
    <x v="0"/>
    <x v="2"/>
  </r>
  <r>
    <x v="69"/>
    <x v="15"/>
    <x v="12"/>
    <n v="97.7"/>
    <n v="390.8"/>
    <x v="2"/>
    <x v="5"/>
    <x v="1"/>
    <x v="3"/>
    <x v="0"/>
    <x v="0"/>
    <x v="6"/>
    <n v="2"/>
    <x v="0"/>
    <x v="1"/>
  </r>
  <r>
    <x v="70"/>
    <x v="17"/>
    <x v="2"/>
    <n v="47.4"/>
    <n v="142.19999999999999"/>
    <x v="2"/>
    <x v="0"/>
    <x v="1"/>
    <x v="3"/>
    <x v="2"/>
    <x v="0"/>
    <x v="8"/>
    <n v="3"/>
    <x v="0"/>
    <x v="1"/>
  </r>
  <r>
    <x v="71"/>
    <x v="7"/>
    <x v="0"/>
    <n v="89.6"/>
    <n v="89.6"/>
    <x v="2"/>
    <x v="0"/>
    <x v="2"/>
    <x v="0"/>
    <x v="2"/>
    <x v="0"/>
    <x v="8"/>
    <n v="3"/>
    <x v="0"/>
    <x v="2"/>
  </r>
  <r>
    <x v="72"/>
    <x v="10"/>
    <x v="16"/>
    <n v="28.4"/>
    <n v="511.2"/>
    <x v="2"/>
    <x v="0"/>
    <x v="2"/>
    <x v="3"/>
    <x v="2"/>
    <x v="0"/>
    <x v="17"/>
    <n v="3"/>
    <x v="0"/>
    <x v="2"/>
  </r>
  <r>
    <x v="73"/>
    <x v="0"/>
    <x v="1"/>
    <n v="17.899999999999999"/>
    <n v="35.799999999999997"/>
    <x v="2"/>
    <x v="2"/>
    <x v="2"/>
    <x v="0"/>
    <x v="2"/>
    <x v="0"/>
    <x v="9"/>
    <n v="1"/>
    <x v="0"/>
    <x v="2"/>
  </r>
  <r>
    <x v="74"/>
    <x v="9"/>
    <x v="1"/>
    <n v="48.4"/>
    <n v="96.8"/>
    <x v="2"/>
    <x v="0"/>
    <x v="1"/>
    <x v="1"/>
    <x v="0"/>
    <x v="0"/>
    <x v="9"/>
    <n v="3"/>
    <x v="0"/>
    <x v="1"/>
  </r>
  <r>
    <x v="75"/>
    <x v="12"/>
    <x v="12"/>
    <n v="44.4"/>
    <n v="177.6"/>
    <x v="2"/>
    <x v="2"/>
    <x v="3"/>
    <x v="1"/>
    <x v="1"/>
    <x v="0"/>
    <x v="11"/>
    <n v="1"/>
    <x v="0"/>
    <x v="3"/>
  </r>
  <r>
    <x v="76"/>
    <x v="2"/>
    <x v="8"/>
    <n v="103.7"/>
    <n v="829.6"/>
    <x v="2"/>
    <x v="2"/>
    <x v="2"/>
    <x v="0"/>
    <x v="1"/>
    <x v="0"/>
    <x v="19"/>
    <n v="1"/>
    <x v="0"/>
    <x v="2"/>
  </r>
  <r>
    <x v="77"/>
    <x v="5"/>
    <x v="12"/>
    <n v="58.6"/>
    <n v="234.4"/>
    <x v="2"/>
    <x v="5"/>
    <x v="1"/>
    <x v="3"/>
    <x v="0"/>
    <x v="0"/>
    <x v="19"/>
    <n v="2"/>
    <x v="0"/>
    <x v="1"/>
  </r>
  <r>
    <x v="78"/>
    <x v="9"/>
    <x v="12"/>
    <n v="54.8"/>
    <n v="219.2"/>
    <x v="2"/>
    <x v="4"/>
    <x v="2"/>
    <x v="2"/>
    <x v="1"/>
    <x v="0"/>
    <x v="13"/>
    <n v="4"/>
    <x v="0"/>
    <x v="2"/>
  </r>
  <r>
    <x v="79"/>
    <x v="12"/>
    <x v="2"/>
    <n v="78.8"/>
    <n v="236.39999999999998"/>
    <x v="2"/>
    <x v="8"/>
    <x v="2"/>
    <x v="4"/>
    <x v="1"/>
    <x v="0"/>
    <x v="21"/>
    <n v="6"/>
    <x v="0"/>
    <x v="2"/>
  </r>
  <r>
    <x v="80"/>
    <x v="18"/>
    <x v="9"/>
    <n v="36.799999999999997"/>
    <n v="184"/>
    <x v="2"/>
    <x v="0"/>
    <x v="1"/>
    <x v="4"/>
    <x v="1"/>
    <x v="0"/>
    <x v="22"/>
    <n v="3"/>
    <x v="0"/>
    <x v="1"/>
  </r>
  <r>
    <x v="81"/>
    <x v="6"/>
    <x v="13"/>
    <n v="50.6"/>
    <n v="303.60000000000002"/>
    <x v="2"/>
    <x v="5"/>
    <x v="2"/>
    <x v="3"/>
    <x v="0"/>
    <x v="0"/>
    <x v="3"/>
    <n v="2"/>
    <x v="0"/>
    <x v="2"/>
  </r>
  <r>
    <x v="82"/>
    <x v="15"/>
    <x v="2"/>
    <n v="36.799999999999997"/>
    <n v="110.39999999999999"/>
    <x v="2"/>
    <x v="1"/>
    <x v="1"/>
    <x v="2"/>
    <x v="1"/>
    <x v="0"/>
    <x v="3"/>
    <n v="0"/>
    <x v="0"/>
    <x v="1"/>
  </r>
  <r>
    <x v="83"/>
    <x v="8"/>
    <x v="11"/>
    <n v="41.8"/>
    <n v="376.2"/>
    <x v="3"/>
    <x v="9"/>
    <x v="2"/>
    <x v="3"/>
    <x v="0"/>
    <x v="0"/>
    <x v="3"/>
    <n v="6"/>
    <x v="0"/>
    <x v="2"/>
  </r>
  <r>
    <x v="84"/>
    <x v="18"/>
    <x v="0"/>
    <n v="77.3"/>
    <n v="77.3"/>
    <x v="3"/>
    <x v="5"/>
    <x v="1"/>
    <x v="4"/>
    <x v="4"/>
    <x v="0"/>
    <x v="3"/>
    <n v="1"/>
    <x v="0"/>
    <x v="1"/>
  </r>
  <r>
    <x v="85"/>
    <x v="8"/>
    <x v="12"/>
    <n v="19.8"/>
    <n v="79.2"/>
    <x v="3"/>
    <x v="9"/>
    <x v="1"/>
    <x v="1"/>
    <x v="2"/>
    <x v="0"/>
    <x v="3"/>
    <n v="6"/>
    <x v="0"/>
    <x v="1"/>
  </r>
  <r>
    <x v="86"/>
    <x v="13"/>
    <x v="12"/>
    <n v="15.5"/>
    <n v="62"/>
    <x v="3"/>
    <x v="5"/>
    <x v="2"/>
    <x v="1"/>
    <x v="2"/>
    <x v="0"/>
    <x v="3"/>
    <n v="1"/>
    <x v="0"/>
    <x v="2"/>
  </r>
  <r>
    <x v="87"/>
    <x v="12"/>
    <x v="0"/>
    <n v="46.8"/>
    <n v="46.8"/>
    <x v="3"/>
    <x v="6"/>
    <x v="1"/>
    <x v="0"/>
    <x v="2"/>
    <x v="0"/>
    <x v="3"/>
    <n v="4"/>
    <x v="0"/>
    <x v="1"/>
  </r>
  <r>
    <x v="88"/>
    <x v="9"/>
    <x v="11"/>
    <n v="28.6"/>
    <n v="257.40000000000003"/>
    <x v="3"/>
    <x v="6"/>
    <x v="1"/>
    <x v="0"/>
    <x v="2"/>
    <x v="0"/>
    <x v="3"/>
    <n v="4"/>
    <x v="0"/>
    <x v="1"/>
  </r>
  <r>
    <x v="89"/>
    <x v="2"/>
    <x v="0"/>
    <n v="97.7"/>
    <n v="97.7"/>
    <x v="3"/>
    <x v="4"/>
    <x v="2"/>
    <x v="1"/>
    <x v="0"/>
    <x v="0"/>
    <x v="3"/>
    <n v="3"/>
    <x v="0"/>
    <x v="2"/>
  </r>
  <r>
    <x v="90"/>
    <x v="9"/>
    <x v="9"/>
    <n v="54.7"/>
    <n v="273.5"/>
    <x v="3"/>
    <x v="4"/>
    <x v="0"/>
    <x v="0"/>
    <x v="2"/>
    <x v="0"/>
    <x v="23"/>
    <n v="3"/>
    <x v="0"/>
    <x v="0"/>
  </r>
  <r>
    <x v="91"/>
    <x v="2"/>
    <x v="13"/>
    <n v="130.5"/>
    <n v="783"/>
    <x v="3"/>
    <x v="0"/>
    <x v="2"/>
    <x v="0"/>
    <x v="1"/>
    <x v="0"/>
    <x v="23"/>
    <n v="2"/>
    <x v="0"/>
    <x v="2"/>
  </r>
  <r>
    <x v="92"/>
    <x v="11"/>
    <x v="1"/>
    <n v="50.4"/>
    <n v="100.8"/>
    <x v="3"/>
    <x v="0"/>
    <x v="1"/>
    <x v="2"/>
    <x v="2"/>
    <x v="0"/>
    <x v="6"/>
    <n v="2"/>
    <x v="0"/>
    <x v="1"/>
  </r>
  <r>
    <x v="93"/>
    <x v="6"/>
    <x v="15"/>
    <n v="61.5"/>
    <n v="799.5"/>
    <x v="3"/>
    <x v="5"/>
    <x v="0"/>
    <x v="3"/>
    <x v="1"/>
    <x v="0"/>
    <x v="11"/>
    <n v="1"/>
    <x v="0"/>
    <x v="0"/>
  </r>
  <r>
    <x v="94"/>
    <x v="9"/>
    <x v="12"/>
    <n v="30.1"/>
    <n v="120.4"/>
    <x v="3"/>
    <x v="5"/>
    <x v="2"/>
    <x v="0"/>
    <x v="2"/>
    <x v="0"/>
    <x v="21"/>
    <n v="1"/>
    <x v="0"/>
    <x v="2"/>
  </r>
  <r>
    <x v="95"/>
    <x v="2"/>
    <x v="9"/>
    <n v="74.8"/>
    <n v="374"/>
    <x v="3"/>
    <x v="5"/>
    <x v="2"/>
    <x v="1"/>
    <x v="0"/>
    <x v="0"/>
    <x v="1"/>
    <n v="1"/>
    <x v="0"/>
    <x v="2"/>
  </r>
  <r>
    <x v="96"/>
    <x v="16"/>
    <x v="2"/>
    <n v="64.900000000000006"/>
    <n v="194.70000000000002"/>
    <x v="3"/>
    <x v="7"/>
    <x v="1"/>
    <x v="0"/>
    <x v="0"/>
    <x v="0"/>
    <x v="2"/>
    <n v="7"/>
    <x v="0"/>
    <x v="1"/>
  </r>
  <r>
    <x v="97"/>
    <x v="9"/>
    <x v="1"/>
    <n v="50.5"/>
    <n v="101"/>
    <x v="3"/>
    <x v="0"/>
    <x v="1"/>
    <x v="1"/>
    <x v="0"/>
    <x v="0"/>
    <x v="22"/>
    <n v="2"/>
    <x v="0"/>
    <x v="1"/>
  </r>
  <r>
    <x v="98"/>
    <x v="11"/>
    <x v="3"/>
    <n v="63"/>
    <n v="441"/>
    <x v="3"/>
    <x v="4"/>
    <x v="1"/>
    <x v="3"/>
    <x v="2"/>
    <x v="0"/>
    <x v="3"/>
    <n v="3"/>
    <x v="0"/>
    <x v="1"/>
  </r>
  <r>
    <x v="99"/>
    <x v="2"/>
    <x v="2"/>
    <n v="93.6"/>
    <n v="280.79999999999995"/>
    <x v="3"/>
    <x v="10"/>
    <x v="2"/>
    <x v="0"/>
    <x v="2"/>
    <x v="0"/>
    <x v="3"/>
    <n v="13"/>
    <x v="0"/>
    <x v="2"/>
  </r>
  <r>
    <x v="100"/>
    <x v="5"/>
    <x v="17"/>
    <n v="41.4"/>
    <n v="1242"/>
    <x v="3"/>
    <x v="6"/>
    <x v="1"/>
    <x v="2"/>
    <x v="2"/>
    <x v="0"/>
    <x v="3"/>
    <n v="4"/>
    <x v="0"/>
    <x v="1"/>
  </r>
  <r>
    <x v="101"/>
    <x v="2"/>
    <x v="1"/>
    <n v="160"/>
    <n v="320"/>
    <x v="4"/>
    <x v="0"/>
    <x v="1"/>
    <x v="2"/>
    <x v="2"/>
    <x v="0"/>
    <x v="5"/>
    <n v="1"/>
    <x v="1"/>
    <x v="1"/>
  </r>
  <r>
    <x v="102"/>
    <x v="19"/>
    <x v="5"/>
    <n v="10.5"/>
    <n v="115.5"/>
    <x v="4"/>
    <x v="6"/>
    <x v="2"/>
    <x v="4"/>
    <x v="0"/>
    <x v="0"/>
    <x v="8"/>
    <n v="3"/>
    <x v="1"/>
    <x v="2"/>
  </r>
  <r>
    <x v="103"/>
    <x v="10"/>
    <x v="1"/>
    <n v="53"/>
    <n v="106"/>
    <x v="4"/>
    <x v="5"/>
    <x v="1"/>
    <x v="2"/>
    <x v="4"/>
    <x v="0"/>
    <x v="17"/>
    <n v="0"/>
    <x v="1"/>
    <x v="1"/>
  </r>
  <r>
    <x v="104"/>
    <x v="8"/>
    <x v="2"/>
    <n v="18.5"/>
    <n v="55.5"/>
    <x v="4"/>
    <x v="9"/>
    <x v="2"/>
    <x v="1"/>
    <x v="2"/>
    <x v="0"/>
    <x v="11"/>
    <n v="5"/>
    <x v="1"/>
    <x v="2"/>
  </r>
  <r>
    <x v="105"/>
    <x v="16"/>
    <x v="2"/>
    <n v="84.5"/>
    <n v="253.5"/>
    <x v="4"/>
    <x v="4"/>
    <x v="2"/>
    <x v="4"/>
    <x v="1"/>
    <x v="0"/>
    <x v="13"/>
    <n v="2"/>
    <x v="1"/>
    <x v="2"/>
  </r>
  <r>
    <x v="106"/>
    <x v="15"/>
    <x v="3"/>
    <n v="31.2"/>
    <n v="218.4"/>
    <x v="4"/>
    <x v="5"/>
    <x v="2"/>
    <x v="2"/>
    <x v="2"/>
    <x v="0"/>
    <x v="3"/>
    <n v="0"/>
    <x v="1"/>
    <x v="2"/>
  </r>
  <r>
    <x v="107"/>
    <x v="8"/>
    <x v="16"/>
    <n v="32.6"/>
    <n v="586.80000000000007"/>
    <x v="4"/>
    <x v="0"/>
    <x v="1"/>
    <x v="1"/>
    <x v="1"/>
    <x v="0"/>
    <x v="3"/>
    <n v="1"/>
    <x v="1"/>
    <x v="1"/>
  </r>
  <r>
    <x v="108"/>
    <x v="10"/>
    <x v="12"/>
    <n v="45.4"/>
    <n v="181.6"/>
    <x v="4"/>
    <x v="4"/>
    <x v="1"/>
    <x v="1"/>
    <x v="0"/>
    <x v="0"/>
    <x v="3"/>
    <n v="2"/>
    <x v="1"/>
    <x v="1"/>
  </r>
  <r>
    <x v="109"/>
    <x v="2"/>
    <x v="4"/>
    <n v="120"/>
    <n v="1440"/>
    <x v="4"/>
    <x v="0"/>
    <x v="2"/>
    <x v="2"/>
    <x v="4"/>
    <x v="0"/>
    <x v="3"/>
    <n v="1"/>
    <x v="1"/>
    <x v="2"/>
  </r>
  <r>
    <x v="110"/>
    <x v="0"/>
    <x v="12"/>
    <n v="18.899999999999999"/>
    <n v="75.599999999999994"/>
    <x v="4"/>
    <x v="4"/>
    <x v="1"/>
    <x v="0"/>
    <x v="2"/>
    <x v="0"/>
    <x v="3"/>
    <n v="2"/>
    <x v="1"/>
    <x v="1"/>
  </r>
  <r>
    <x v="111"/>
    <x v="4"/>
    <x v="0"/>
    <n v="32"/>
    <n v="32"/>
    <x v="4"/>
    <x v="4"/>
    <x v="2"/>
    <x v="4"/>
    <x v="0"/>
    <x v="0"/>
    <x v="3"/>
    <n v="2"/>
    <x v="1"/>
    <x v="2"/>
  </r>
  <r>
    <x v="112"/>
    <x v="7"/>
    <x v="1"/>
    <n v="37.299999999999997"/>
    <n v="74.599999999999994"/>
    <x v="4"/>
    <x v="0"/>
    <x v="1"/>
    <x v="2"/>
    <x v="0"/>
    <x v="0"/>
    <x v="3"/>
    <n v="1"/>
    <x v="1"/>
    <x v="1"/>
  </r>
  <r>
    <x v="113"/>
    <x v="18"/>
    <x v="0"/>
    <n v="119.8"/>
    <n v="119.8"/>
    <x v="4"/>
    <x v="0"/>
    <x v="1"/>
    <x v="1"/>
    <x v="1"/>
    <x v="0"/>
    <x v="3"/>
    <n v="1"/>
    <x v="1"/>
    <x v="1"/>
  </r>
  <r>
    <x v="114"/>
    <x v="10"/>
    <x v="1"/>
    <n v="26.4"/>
    <n v="52.8"/>
    <x v="4"/>
    <x v="6"/>
    <x v="1"/>
    <x v="2"/>
    <x v="0"/>
    <x v="0"/>
    <x v="3"/>
    <n v="3"/>
    <x v="1"/>
    <x v="1"/>
  </r>
  <r>
    <x v="115"/>
    <x v="6"/>
    <x v="13"/>
    <n v="76.5"/>
    <n v="459"/>
    <x v="4"/>
    <x v="0"/>
    <x v="2"/>
    <x v="1"/>
    <x v="1"/>
    <x v="0"/>
    <x v="3"/>
    <n v="1"/>
    <x v="1"/>
    <x v="2"/>
  </r>
  <r>
    <x v="116"/>
    <x v="4"/>
    <x v="7"/>
    <n v="45.7"/>
    <n v="457"/>
    <x v="4"/>
    <x v="0"/>
    <x v="2"/>
    <x v="2"/>
    <x v="0"/>
    <x v="0"/>
    <x v="24"/>
    <n v="1"/>
    <x v="1"/>
    <x v="2"/>
  </r>
  <r>
    <x v="117"/>
    <x v="1"/>
    <x v="4"/>
    <n v="92.6"/>
    <n v="1111.1999999999998"/>
    <x v="4"/>
    <x v="4"/>
    <x v="2"/>
    <x v="2"/>
    <x v="0"/>
    <x v="0"/>
    <x v="25"/>
    <n v="2"/>
    <x v="1"/>
    <x v="2"/>
  </r>
  <r>
    <x v="118"/>
    <x v="6"/>
    <x v="13"/>
    <n v="60.1"/>
    <n v="360.6"/>
    <x v="4"/>
    <x v="0"/>
    <x v="1"/>
    <x v="1"/>
    <x v="0"/>
    <x v="0"/>
    <x v="23"/>
    <n v="1"/>
    <x v="1"/>
    <x v="1"/>
  </r>
  <r>
    <x v="119"/>
    <x v="1"/>
    <x v="2"/>
    <n v="73"/>
    <n v="219"/>
    <x v="4"/>
    <x v="0"/>
    <x v="2"/>
    <x v="3"/>
    <x v="1"/>
    <x v="0"/>
    <x v="6"/>
    <n v="1"/>
    <x v="1"/>
    <x v="2"/>
  </r>
  <r>
    <x v="120"/>
    <x v="6"/>
    <x v="2"/>
    <n v="44.3"/>
    <n v="132.89999999999998"/>
    <x v="4"/>
    <x v="8"/>
    <x v="0"/>
    <x v="2"/>
    <x v="2"/>
    <x v="0"/>
    <x v="6"/>
    <n v="4"/>
    <x v="1"/>
    <x v="0"/>
  </r>
  <r>
    <x v="121"/>
    <x v="6"/>
    <x v="2"/>
    <n v="63.3"/>
    <n v="189.89999999999998"/>
    <x v="4"/>
    <x v="0"/>
    <x v="1"/>
    <x v="2"/>
    <x v="0"/>
    <x v="0"/>
    <x v="6"/>
    <n v="1"/>
    <x v="1"/>
    <x v="1"/>
  </r>
  <r>
    <x v="122"/>
    <x v="12"/>
    <x v="0"/>
    <n v="66.8"/>
    <n v="66.8"/>
    <x v="4"/>
    <x v="0"/>
    <x v="2"/>
    <x v="1"/>
    <x v="0"/>
    <x v="0"/>
    <x v="6"/>
    <n v="1"/>
    <x v="1"/>
    <x v="2"/>
  </r>
  <r>
    <x v="123"/>
    <x v="2"/>
    <x v="1"/>
    <n v="59.7"/>
    <n v="119.4"/>
    <x v="4"/>
    <x v="0"/>
    <x v="2"/>
    <x v="0"/>
    <x v="0"/>
    <x v="0"/>
    <x v="7"/>
    <n v="1"/>
    <x v="1"/>
    <x v="2"/>
  </r>
  <r>
    <x v="124"/>
    <x v="1"/>
    <x v="13"/>
    <n v="92"/>
    <n v="552"/>
    <x v="4"/>
    <x v="4"/>
    <x v="1"/>
    <x v="0"/>
    <x v="4"/>
    <x v="0"/>
    <x v="7"/>
    <n v="2"/>
    <x v="1"/>
    <x v="1"/>
  </r>
  <r>
    <x v="125"/>
    <x v="7"/>
    <x v="1"/>
    <n v="87.6"/>
    <n v="175.2"/>
    <x v="4"/>
    <x v="4"/>
    <x v="1"/>
    <x v="1"/>
    <x v="1"/>
    <x v="0"/>
    <x v="8"/>
    <n v="2"/>
    <x v="1"/>
    <x v="1"/>
  </r>
  <r>
    <x v="126"/>
    <x v="6"/>
    <x v="2"/>
    <n v="84.5"/>
    <n v="253.5"/>
    <x v="4"/>
    <x v="0"/>
    <x v="2"/>
    <x v="1"/>
    <x v="1"/>
    <x v="0"/>
    <x v="8"/>
    <n v="1"/>
    <x v="1"/>
    <x v="2"/>
  </r>
  <r>
    <x v="127"/>
    <x v="1"/>
    <x v="1"/>
    <n v="116.3"/>
    <n v="232.6"/>
    <x v="5"/>
    <x v="6"/>
    <x v="1"/>
    <x v="2"/>
    <x v="2"/>
    <x v="0"/>
    <x v="8"/>
    <n v="2"/>
    <x v="1"/>
    <x v="1"/>
  </r>
  <r>
    <x v="128"/>
    <x v="6"/>
    <x v="9"/>
    <n v="52.7"/>
    <n v="263.5"/>
    <x v="5"/>
    <x v="9"/>
    <x v="1"/>
    <x v="0"/>
    <x v="0"/>
    <x v="0"/>
    <x v="8"/>
    <n v="4"/>
    <x v="1"/>
    <x v="1"/>
  </r>
  <r>
    <x v="129"/>
    <x v="16"/>
    <x v="2"/>
    <n v="34.200000000000003"/>
    <n v="102.60000000000001"/>
    <x v="5"/>
    <x v="4"/>
    <x v="1"/>
    <x v="0"/>
    <x v="2"/>
    <x v="0"/>
    <x v="26"/>
    <n v="1"/>
    <x v="1"/>
    <x v="1"/>
  </r>
  <r>
    <x v="130"/>
    <x v="9"/>
    <x v="0"/>
    <n v="23.3"/>
    <n v="23.3"/>
    <x v="5"/>
    <x v="11"/>
    <x v="3"/>
    <x v="2"/>
    <x v="2"/>
    <x v="0"/>
    <x v="9"/>
    <n v="9"/>
    <x v="1"/>
    <x v="3"/>
  </r>
  <r>
    <x v="131"/>
    <x v="0"/>
    <x v="18"/>
    <n v="25.9"/>
    <n v="673.4"/>
    <x v="5"/>
    <x v="8"/>
    <x v="2"/>
    <x v="4"/>
    <x v="1"/>
    <x v="0"/>
    <x v="9"/>
    <n v="3"/>
    <x v="1"/>
    <x v="2"/>
  </r>
  <r>
    <x v="132"/>
    <x v="6"/>
    <x v="19"/>
    <n v="54.9"/>
    <n v="1592.1"/>
    <x v="5"/>
    <x v="4"/>
    <x v="1"/>
    <x v="1"/>
    <x v="2"/>
    <x v="0"/>
    <x v="9"/>
    <n v="1"/>
    <x v="1"/>
    <x v="1"/>
  </r>
  <r>
    <x v="133"/>
    <x v="5"/>
    <x v="2"/>
    <n v="75.8"/>
    <n v="227.39999999999998"/>
    <x v="5"/>
    <x v="7"/>
    <x v="3"/>
    <x v="1"/>
    <x v="0"/>
    <x v="0"/>
    <x v="18"/>
    <n v="5"/>
    <x v="1"/>
    <x v="3"/>
  </r>
  <r>
    <x v="134"/>
    <x v="1"/>
    <x v="11"/>
    <n v="44.9"/>
    <n v="404.09999999999997"/>
    <x v="5"/>
    <x v="8"/>
    <x v="2"/>
    <x v="2"/>
    <x v="2"/>
    <x v="0"/>
    <x v="2"/>
    <n v="3"/>
    <x v="1"/>
    <x v="2"/>
  </r>
  <r>
    <x v="135"/>
    <x v="11"/>
    <x v="1"/>
    <n v="48.8"/>
    <n v="97.6"/>
    <x v="5"/>
    <x v="6"/>
    <x v="2"/>
    <x v="3"/>
    <x v="0"/>
    <x v="0"/>
    <x v="27"/>
    <n v="2"/>
    <x v="1"/>
    <x v="2"/>
  </r>
  <r>
    <x v="136"/>
    <x v="15"/>
    <x v="0"/>
    <n v="20.3"/>
    <n v="20.3"/>
    <x v="5"/>
    <x v="4"/>
    <x v="2"/>
    <x v="0"/>
    <x v="2"/>
    <x v="0"/>
    <x v="22"/>
    <n v="1"/>
    <x v="1"/>
    <x v="2"/>
  </r>
  <r>
    <x v="137"/>
    <x v="5"/>
    <x v="3"/>
    <n v="36.4"/>
    <n v="254.79999999999998"/>
    <x v="5"/>
    <x v="8"/>
    <x v="2"/>
    <x v="0"/>
    <x v="1"/>
    <x v="0"/>
    <x v="3"/>
    <n v="3"/>
    <x v="1"/>
    <x v="2"/>
  </r>
  <r>
    <x v="138"/>
    <x v="0"/>
    <x v="0"/>
    <n v="19"/>
    <n v="19"/>
    <x v="5"/>
    <x v="7"/>
    <x v="2"/>
    <x v="1"/>
    <x v="2"/>
    <x v="0"/>
    <x v="3"/>
    <n v="5"/>
    <x v="1"/>
    <x v="2"/>
  </r>
  <r>
    <x v="139"/>
    <x v="8"/>
    <x v="0"/>
    <n v="17.8"/>
    <n v="17.8"/>
    <x v="5"/>
    <x v="0"/>
    <x v="1"/>
    <x v="0"/>
    <x v="0"/>
    <x v="0"/>
    <x v="3"/>
    <n v="0"/>
    <x v="1"/>
    <x v="1"/>
  </r>
  <r>
    <x v="140"/>
    <x v="2"/>
    <x v="13"/>
    <n v="139.6"/>
    <n v="837.59999999999991"/>
    <x v="5"/>
    <x v="8"/>
    <x v="1"/>
    <x v="0"/>
    <x v="0"/>
    <x v="0"/>
    <x v="3"/>
    <n v="3"/>
    <x v="1"/>
    <x v="1"/>
  </r>
  <r>
    <x v="141"/>
    <x v="9"/>
    <x v="0"/>
    <n v="31.7"/>
    <n v="31.7"/>
    <x v="5"/>
    <x v="0"/>
    <x v="0"/>
    <x v="0"/>
    <x v="0"/>
    <x v="0"/>
    <x v="3"/>
    <n v="0"/>
    <x v="1"/>
    <x v="0"/>
  </r>
  <r>
    <x v="142"/>
    <x v="8"/>
    <x v="8"/>
    <n v="26.3"/>
    <n v="210.4"/>
    <x v="5"/>
    <x v="8"/>
    <x v="2"/>
    <x v="4"/>
    <x v="4"/>
    <x v="0"/>
    <x v="3"/>
    <n v="3"/>
    <x v="1"/>
    <x v="2"/>
  </r>
  <r>
    <x v="143"/>
    <x v="4"/>
    <x v="1"/>
    <n v="47.8"/>
    <n v="95.6"/>
    <x v="5"/>
    <x v="4"/>
    <x v="0"/>
    <x v="0"/>
    <x v="0"/>
    <x v="0"/>
    <x v="3"/>
    <n v="1"/>
    <x v="1"/>
    <x v="0"/>
  </r>
  <r>
    <x v="144"/>
    <x v="9"/>
    <x v="2"/>
    <n v="69.400000000000006"/>
    <n v="208.20000000000002"/>
    <x v="5"/>
    <x v="9"/>
    <x v="2"/>
    <x v="0"/>
    <x v="0"/>
    <x v="0"/>
    <x v="3"/>
    <n v="4"/>
    <x v="1"/>
    <x v="2"/>
  </r>
  <r>
    <x v="145"/>
    <x v="18"/>
    <x v="4"/>
    <n v="25.8"/>
    <n v="309.60000000000002"/>
    <x v="5"/>
    <x v="4"/>
    <x v="1"/>
    <x v="4"/>
    <x v="4"/>
    <x v="0"/>
    <x v="3"/>
    <n v="1"/>
    <x v="1"/>
    <x v="1"/>
  </r>
  <r>
    <x v="146"/>
    <x v="0"/>
    <x v="12"/>
    <n v="26.4"/>
    <n v="105.6"/>
    <x v="5"/>
    <x v="4"/>
    <x v="1"/>
    <x v="1"/>
    <x v="2"/>
    <x v="0"/>
    <x v="3"/>
    <n v="1"/>
    <x v="1"/>
    <x v="1"/>
  </r>
  <r>
    <x v="147"/>
    <x v="8"/>
    <x v="12"/>
    <n v="15.7"/>
    <n v="62.8"/>
    <x v="5"/>
    <x v="4"/>
    <x v="1"/>
    <x v="2"/>
    <x v="0"/>
    <x v="0"/>
    <x v="3"/>
    <n v="1"/>
    <x v="1"/>
    <x v="1"/>
  </r>
  <r>
    <x v="148"/>
    <x v="8"/>
    <x v="0"/>
    <n v="39.700000000000003"/>
    <n v="39.700000000000003"/>
    <x v="5"/>
    <x v="9"/>
    <x v="1"/>
    <x v="0"/>
    <x v="0"/>
    <x v="0"/>
    <x v="3"/>
    <n v="4"/>
    <x v="1"/>
    <x v="1"/>
  </r>
  <r>
    <x v="149"/>
    <x v="10"/>
    <x v="12"/>
    <n v="31.1"/>
    <n v="124.4"/>
    <x v="5"/>
    <x v="6"/>
    <x v="2"/>
    <x v="2"/>
    <x v="1"/>
    <x v="0"/>
    <x v="3"/>
    <n v="2"/>
    <x v="1"/>
    <x v="2"/>
  </r>
  <r>
    <x v="150"/>
    <x v="13"/>
    <x v="20"/>
    <n v="23.4"/>
    <n v="351"/>
    <x v="5"/>
    <x v="11"/>
    <x v="1"/>
    <x v="0"/>
    <x v="0"/>
    <x v="0"/>
    <x v="3"/>
    <n v="9"/>
    <x v="1"/>
    <x v="1"/>
  </r>
  <r>
    <x v="151"/>
    <x v="1"/>
    <x v="12"/>
    <n v="57.1"/>
    <n v="228.4"/>
    <x v="6"/>
    <x v="6"/>
    <x v="1"/>
    <x v="2"/>
    <x v="0"/>
    <x v="0"/>
    <x v="25"/>
    <n v="1"/>
    <x v="1"/>
    <x v="1"/>
  </r>
  <r>
    <x v="152"/>
    <x v="2"/>
    <x v="9"/>
    <n v="89.9"/>
    <n v="449.5"/>
    <x v="6"/>
    <x v="4"/>
    <x v="2"/>
    <x v="0"/>
    <x v="3"/>
    <x v="0"/>
    <x v="23"/>
    <n v="0"/>
    <x v="1"/>
    <x v="2"/>
  </r>
  <r>
    <x v="153"/>
    <x v="10"/>
    <x v="3"/>
    <n v="48.1"/>
    <n v="336.7"/>
    <x v="6"/>
    <x v="8"/>
    <x v="2"/>
    <x v="1"/>
    <x v="2"/>
    <x v="0"/>
    <x v="6"/>
    <n v="2"/>
    <x v="1"/>
    <x v="2"/>
  </r>
  <r>
    <x v="154"/>
    <x v="8"/>
    <x v="1"/>
    <n v="29.3"/>
    <n v="58.6"/>
    <x v="6"/>
    <x v="4"/>
    <x v="2"/>
    <x v="1"/>
    <x v="1"/>
    <x v="0"/>
    <x v="6"/>
    <n v="0"/>
    <x v="1"/>
    <x v="2"/>
  </r>
  <r>
    <x v="155"/>
    <x v="8"/>
    <x v="12"/>
    <n v="28.8"/>
    <n v="115.2"/>
    <x v="6"/>
    <x v="6"/>
    <x v="2"/>
    <x v="0"/>
    <x v="4"/>
    <x v="0"/>
    <x v="6"/>
    <n v="1"/>
    <x v="1"/>
    <x v="2"/>
  </r>
  <r>
    <x v="156"/>
    <x v="10"/>
    <x v="9"/>
    <n v="40.5"/>
    <n v="202.5"/>
    <x v="6"/>
    <x v="7"/>
    <x v="2"/>
    <x v="3"/>
    <x v="0"/>
    <x v="0"/>
    <x v="6"/>
    <n v="4"/>
    <x v="1"/>
    <x v="2"/>
  </r>
  <r>
    <x v="157"/>
    <x v="18"/>
    <x v="21"/>
    <n v="65.099999999999994"/>
    <n v="911.39999999999986"/>
    <x v="6"/>
    <x v="6"/>
    <x v="2"/>
    <x v="4"/>
    <x v="0"/>
    <x v="0"/>
    <x v="7"/>
    <n v="1"/>
    <x v="1"/>
    <x v="2"/>
  </r>
  <r>
    <x v="158"/>
    <x v="8"/>
    <x v="12"/>
    <n v="40.299999999999997"/>
    <n v="161.19999999999999"/>
    <x v="6"/>
    <x v="12"/>
    <x v="2"/>
    <x v="2"/>
    <x v="0"/>
    <x v="0"/>
    <x v="7"/>
    <n v="5"/>
    <x v="1"/>
    <x v="2"/>
  </r>
  <r>
    <x v="159"/>
    <x v="6"/>
    <x v="9"/>
    <n v="51.8"/>
    <n v="259"/>
    <x v="6"/>
    <x v="6"/>
    <x v="1"/>
    <x v="2"/>
    <x v="2"/>
    <x v="0"/>
    <x v="8"/>
    <n v="1"/>
    <x v="1"/>
    <x v="1"/>
  </r>
  <r>
    <x v="160"/>
    <x v="6"/>
    <x v="2"/>
    <n v="61.3"/>
    <n v="183.89999999999998"/>
    <x v="6"/>
    <x v="6"/>
    <x v="2"/>
    <x v="3"/>
    <x v="0"/>
    <x v="0"/>
    <x v="8"/>
    <n v="1"/>
    <x v="1"/>
    <x v="2"/>
  </r>
  <r>
    <x v="161"/>
    <x v="2"/>
    <x v="12"/>
    <n v="122.5"/>
    <n v="490"/>
    <x v="6"/>
    <x v="6"/>
    <x v="1"/>
    <x v="0"/>
    <x v="0"/>
    <x v="0"/>
    <x v="8"/>
    <n v="1"/>
    <x v="1"/>
    <x v="1"/>
  </r>
  <r>
    <x v="162"/>
    <x v="0"/>
    <x v="11"/>
    <n v="12.5"/>
    <n v="112.5"/>
    <x v="6"/>
    <x v="6"/>
    <x v="0"/>
    <x v="1"/>
    <x v="2"/>
    <x v="0"/>
    <x v="8"/>
    <n v="1"/>
    <x v="1"/>
    <x v="0"/>
  </r>
  <r>
    <x v="163"/>
    <x v="15"/>
    <x v="8"/>
    <n v="37.5"/>
    <n v="300"/>
    <x v="6"/>
    <x v="6"/>
    <x v="2"/>
    <x v="0"/>
    <x v="0"/>
    <x v="0"/>
    <x v="9"/>
    <n v="1"/>
    <x v="1"/>
    <x v="2"/>
  </r>
  <r>
    <x v="164"/>
    <x v="6"/>
    <x v="2"/>
    <n v="40"/>
    <n v="120"/>
    <x v="6"/>
    <x v="9"/>
    <x v="1"/>
    <x v="0"/>
    <x v="4"/>
    <x v="0"/>
    <x v="11"/>
    <n v="3"/>
    <x v="1"/>
    <x v="1"/>
  </r>
  <r>
    <x v="165"/>
    <x v="17"/>
    <x v="8"/>
    <n v="38.5"/>
    <n v="308"/>
    <x v="6"/>
    <x v="12"/>
    <x v="2"/>
    <x v="2"/>
    <x v="1"/>
    <x v="0"/>
    <x v="11"/>
    <n v="5"/>
    <x v="1"/>
    <x v="2"/>
  </r>
  <r>
    <x v="166"/>
    <x v="2"/>
    <x v="1"/>
    <n v="86.4"/>
    <n v="172.8"/>
    <x v="6"/>
    <x v="8"/>
    <x v="2"/>
    <x v="0"/>
    <x v="0"/>
    <x v="0"/>
    <x v="18"/>
    <n v="2"/>
    <x v="1"/>
    <x v="2"/>
  </r>
  <r>
    <x v="167"/>
    <x v="10"/>
    <x v="0"/>
    <n v="50.7"/>
    <n v="50.7"/>
    <x v="6"/>
    <x v="7"/>
    <x v="2"/>
    <x v="1"/>
    <x v="0"/>
    <x v="0"/>
    <x v="18"/>
    <n v="4"/>
    <x v="1"/>
    <x v="2"/>
  </r>
  <r>
    <x v="168"/>
    <x v="10"/>
    <x v="1"/>
    <n v="61"/>
    <n v="122"/>
    <x v="6"/>
    <x v="13"/>
    <x v="2"/>
    <x v="4"/>
    <x v="1"/>
    <x v="0"/>
    <x v="18"/>
    <n v="11"/>
    <x v="1"/>
    <x v="2"/>
  </r>
  <r>
    <x v="169"/>
    <x v="4"/>
    <x v="1"/>
    <n v="19.899999999999999"/>
    <n v="39.799999999999997"/>
    <x v="6"/>
    <x v="9"/>
    <x v="2"/>
    <x v="1"/>
    <x v="0"/>
    <x v="0"/>
    <x v="28"/>
    <n v="3"/>
    <x v="1"/>
    <x v="2"/>
  </r>
  <r>
    <x v="170"/>
    <x v="5"/>
    <x v="0"/>
    <n v="78.3"/>
    <n v="78.3"/>
    <x v="6"/>
    <x v="4"/>
    <x v="2"/>
    <x v="0"/>
    <x v="2"/>
    <x v="0"/>
    <x v="1"/>
    <n v="0"/>
    <x v="1"/>
    <x v="2"/>
  </r>
  <r>
    <x v="171"/>
    <x v="0"/>
    <x v="10"/>
    <n v="10.4"/>
    <n v="197.6"/>
    <x v="6"/>
    <x v="8"/>
    <x v="1"/>
    <x v="0"/>
    <x v="2"/>
    <x v="0"/>
    <x v="2"/>
    <n v="2"/>
    <x v="1"/>
    <x v="1"/>
  </r>
  <r>
    <x v="172"/>
    <x v="10"/>
    <x v="0"/>
    <n v="36.1"/>
    <n v="36.1"/>
    <x v="6"/>
    <x v="9"/>
    <x v="1"/>
    <x v="3"/>
    <x v="2"/>
    <x v="0"/>
    <x v="3"/>
    <n v="3"/>
    <x v="1"/>
    <x v="1"/>
  </r>
  <r>
    <x v="173"/>
    <x v="14"/>
    <x v="1"/>
    <n v="17.3"/>
    <n v="34.6"/>
    <x v="6"/>
    <x v="8"/>
    <x v="2"/>
    <x v="1"/>
    <x v="2"/>
    <x v="0"/>
    <x v="3"/>
    <n v="2"/>
    <x v="1"/>
    <x v="2"/>
  </r>
  <r>
    <x v="174"/>
    <x v="10"/>
    <x v="1"/>
    <n v="30.5"/>
    <n v="61"/>
    <x v="6"/>
    <x v="6"/>
    <x v="2"/>
    <x v="1"/>
    <x v="2"/>
    <x v="0"/>
    <x v="3"/>
    <n v="1"/>
    <x v="1"/>
    <x v="2"/>
  </r>
  <r>
    <x v="175"/>
    <x v="18"/>
    <x v="22"/>
    <n v="70.099999999999994"/>
    <n v="4346.2"/>
    <x v="6"/>
    <x v="4"/>
    <x v="2"/>
    <x v="2"/>
    <x v="0"/>
    <x v="0"/>
    <x v="3"/>
    <n v="0"/>
    <x v="1"/>
    <x v="2"/>
  </r>
  <r>
    <x v="176"/>
    <x v="3"/>
    <x v="0"/>
    <n v="76.099999999999994"/>
    <n v="76.099999999999994"/>
    <x v="6"/>
    <x v="4"/>
    <x v="2"/>
    <x v="2"/>
    <x v="1"/>
    <x v="0"/>
    <x v="3"/>
    <n v="0"/>
    <x v="1"/>
    <x v="2"/>
  </r>
  <r>
    <x v="177"/>
    <x v="15"/>
    <x v="15"/>
    <n v="34.200000000000003"/>
    <n v="444.6"/>
    <x v="6"/>
    <x v="6"/>
    <x v="1"/>
    <x v="0"/>
    <x v="0"/>
    <x v="0"/>
    <x v="3"/>
    <n v="1"/>
    <x v="1"/>
    <x v="1"/>
  </r>
  <r>
    <x v="178"/>
    <x v="8"/>
    <x v="9"/>
    <n v="30.3"/>
    <n v="151.5"/>
    <x v="6"/>
    <x v="12"/>
    <x v="2"/>
    <x v="4"/>
    <x v="0"/>
    <x v="0"/>
    <x v="3"/>
    <n v="5"/>
    <x v="1"/>
    <x v="2"/>
  </r>
  <r>
    <x v="179"/>
    <x v="6"/>
    <x v="9"/>
    <n v="52.5"/>
    <n v="262.5"/>
    <x v="6"/>
    <x v="7"/>
    <x v="0"/>
    <x v="3"/>
    <x v="0"/>
    <x v="0"/>
    <x v="3"/>
    <n v="4"/>
    <x v="1"/>
    <x v="0"/>
  </r>
  <r>
    <x v="180"/>
    <x v="9"/>
    <x v="5"/>
    <n v="28.7"/>
    <n v="315.7"/>
    <x v="6"/>
    <x v="6"/>
    <x v="2"/>
    <x v="2"/>
    <x v="0"/>
    <x v="0"/>
    <x v="3"/>
    <n v="1"/>
    <x v="1"/>
    <x v="2"/>
  </r>
  <r>
    <x v="181"/>
    <x v="7"/>
    <x v="3"/>
    <n v="52"/>
    <n v="364"/>
    <x v="6"/>
    <x v="6"/>
    <x v="1"/>
    <x v="1"/>
    <x v="4"/>
    <x v="0"/>
    <x v="3"/>
    <n v="1"/>
    <x v="1"/>
    <x v="1"/>
  </r>
  <r>
    <x v="182"/>
    <x v="0"/>
    <x v="0"/>
    <n v="13.3"/>
    <n v="13.3"/>
    <x v="7"/>
    <x v="12"/>
    <x v="2"/>
    <x v="2"/>
    <x v="1"/>
    <x v="0"/>
    <x v="3"/>
    <n v="4"/>
    <x v="1"/>
    <x v="2"/>
  </r>
  <r>
    <x v="183"/>
    <x v="0"/>
    <x v="2"/>
    <n v="15.7"/>
    <n v="47.099999999999994"/>
    <x v="7"/>
    <x v="8"/>
    <x v="2"/>
    <x v="1"/>
    <x v="0"/>
    <x v="0"/>
    <x v="29"/>
    <n v="1"/>
    <x v="1"/>
    <x v="2"/>
  </r>
  <r>
    <x v="184"/>
    <x v="8"/>
    <x v="1"/>
    <n v="25.6"/>
    <n v="51.2"/>
    <x v="7"/>
    <x v="8"/>
    <x v="1"/>
    <x v="0"/>
    <x v="2"/>
    <x v="0"/>
    <x v="23"/>
    <n v="1"/>
    <x v="1"/>
    <x v="1"/>
  </r>
  <r>
    <x v="185"/>
    <x v="8"/>
    <x v="0"/>
    <n v="43.4"/>
    <n v="43.4"/>
    <x v="7"/>
    <x v="14"/>
    <x v="1"/>
    <x v="0"/>
    <x v="0"/>
    <x v="0"/>
    <x v="6"/>
    <n v="5"/>
    <x v="1"/>
    <x v="1"/>
  </r>
  <r>
    <x v="186"/>
    <x v="11"/>
    <x v="11"/>
    <n v="33.4"/>
    <n v="300.59999999999997"/>
    <x v="7"/>
    <x v="6"/>
    <x v="2"/>
    <x v="0"/>
    <x v="0"/>
    <x v="0"/>
    <x v="8"/>
    <n v="0"/>
    <x v="1"/>
    <x v="2"/>
  </r>
  <r>
    <x v="187"/>
    <x v="8"/>
    <x v="10"/>
    <n v="55"/>
    <n v="1045"/>
    <x v="7"/>
    <x v="8"/>
    <x v="2"/>
    <x v="1"/>
    <x v="2"/>
    <x v="0"/>
    <x v="8"/>
    <n v="1"/>
    <x v="1"/>
    <x v="2"/>
  </r>
  <r>
    <x v="188"/>
    <x v="8"/>
    <x v="2"/>
    <n v="23.6"/>
    <n v="70.800000000000011"/>
    <x v="7"/>
    <x v="8"/>
    <x v="1"/>
    <x v="0"/>
    <x v="2"/>
    <x v="0"/>
    <x v="8"/>
    <n v="1"/>
    <x v="1"/>
    <x v="1"/>
  </r>
  <r>
    <x v="189"/>
    <x v="12"/>
    <x v="11"/>
    <n v="104"/>
    <n v="936"/>
    <x v="7"/>
    <x v="9"/>
    <x v="2"/>
    <x v="2"/>
    <x v="2"/>
    <x v="0"/>
    <x v="17"/>
    <n v="2"/>
    <x v="1"/>
    <x v="2"/>
  </r>
  <r>
    <x v="190"/>
    <x v="6"/>
    <x v="1"/>
    <n v="51.8"/>
    <n v="103.6"/>
    <x v="7"/>
    <x v="12"/>
    <x v="0"/>
    <x v="0"/>
    <x v="2"/>
    <x v="0"/>
    <x v="10"/>
    <n v="4"/>
    <x v="1"/>
    <x v="0"/>
  </r>
  <r>
    <x v="191"/>
    <x v="10"/>
    <x v="9"/>
    <n v="34.5"/>
    <n v="172.5"/>
    <x v="7"/>
    <x v="9"/>
    <x v="0"/>
    <x v="2"/>
    <x v="2"/>
    <x v="0"/>
    <x v="11"/>
    <n v="2"/>
    <x v="1"/>
    <x v="0"/>
  </r>
  <r>
    <x v="192"/>
    <x v="6"/>
    <x v="1"/>
    <n v="51.8"/>
    <n v="103.6"/>
    <x v="7"/>
    <x v="9"/>
    <x v="1"/>
    <x v="1"/>
    <x v="2"/>
    <x v="0"/>
    <x v="30"/>
    <n v="2"/>
    <x v="1"/>
    <x v="1"/>
  </r>
  <r>
    <x v="193"/>
    <x v="18"/>
    <x v="23"/>
    <n v="131.5"/>
    <n v="5654.5"/>
    <x v="7"/>
    <x v="8"/>
    <x v="2"/>
    <x v="0"/>
    <x v="2"/>
    <x v="0"/>
    <x v="18"/>
    <n v="1"/>
    <x v="1"/>
    <x v="2"/>
  </r>
  <r>
    <x v="194"/>
    <x v="8"/>
    <x v="3"/>
    <n v="47.8"/>
    <n v="334.59999999999997"/>
    <x v="7"/>
    <x v="6"/>
    <x v="2"/>
    <x v="0"/>
    <x v="0"/>
    <x v="0"/>
    <x v="19"/>
    <n v="0"/>
    <x v="1"/>
    <x v="2"/>
  </r>
  <r>
    <x v="195"/>
    <x v="0"/>
    <x v="1"/>
    <n v="10.199999999999999"/>
    <n v="20.399999999999999"/>
    <x v="7"/>
    <x v="9"/>
    <x v="2"/>
    <x v="0"/>
    <x v="0"/>
    <x v="0"/>
    <x v="19"/>
    <n v="2"/>
    <x v="1"/>
    <x v="2"/>
  </r>
  <r>
    <x v="196"/>
    <x v="8"/>
    <x v="8"/>
    <n v="41"/>
    <n v="328"/>
    <x v="7"/>
    <x v="6"/>
    <x v="2"/>
    <x v="1"/>
    <x v="2"/>
    <x v="0"/>
    <x v="19"/>
    <n v="0"/>
    <x v="1"/>
    <x v="2"/>
  </r>
  <r>
    <x v="197"/>
    <x v="10"/>
    <x v="3"/>
    <n v="50.8"/>
    <n v="355.59999999999997"/>
    <x v="7"/>
    <x v="7"/>
    <x v="2"/>
    <x v="1"/>
    <x v="0"/>
    <x v="0"/>
    <x v="21"/>
    <n v="3"/>
    <x v="1"/>
    <x v="2"/>
  </r>
  <r>
    <x v="198"/>
    <x v="18"/>
    <x v="2"/>
    <n v="39.6"/>
    <n v="118.80000000000001"/>
    <x v="7"/>
    <x v="8"/>
    <x v="1"/>
    <x v="2"/>
    <x v="2"/>
    <x v="0"/>
    <x v="1"/>
    <n v="1"/>
    <x v="1"/>
    <x v="1"/>
  </r>
  <r>
    <x v="199"/>
    <x v="5"/>
    <x v="1"/>
    <n v="69.5"/>
    <n v="139"/>
    <x v="7"/>
    <x v="9"/>
    <x v="1"/>
    <x v="0"/>
    <x v="2"/>
    <x v="0"/>
    <x v="2"/>
    <n v="2"/>
    <x v="1"/>
    <x v="1"/>
  </r>
  <r>
    <x v="200"/>
    <x v="8"/>
    <x v="8"/>
    <n v="32.6"/>
    <n v="260.8"/>
    <x v="7"/>
    <x v="7"/>
    <x v="1"/>
    <x v="1"/>
    <x v="0"/>
    <x v="0"/>
    <x v="3"/>
    <n v="3"/>
    <x v="1"/>
    <x v="1"/>
  </r>
  <r>
    <x v="201"/>
    <x v="7"/>
    <x v="1"/>
    <n v="49.1"/>
    <n v="98.2"/>
    <x v="7"/>
    <x v="15"/>
    <x v="1"/>
    <x v="3"/>
    <x v="2"/>
    <x v="0"/>
    <x v="3"/>
    <n v="8"/>
    <x v="1"/>
    <x v="1"/>
  </r>
  <r>
    <x v="202"/>
    <x v="6"/>
    <x v="1"/>
    <n v="49.4"/>
    <n v="98.8"/>
    <x v="8"/>
    <x v="9"/>
    <x v="2"/>
    <x v="2"/>
    <x v="0"/>
    <x v="0"/>
    <x v="3"/>
    <n v="1"/>
    <x v="1"/>
    <x v="2"/>
  </r>
  <r>
    <x v="203"/>
    <x v="7"/>
    <x v="3"/>
    <n v="65.099999999999994"/>
    <n v="455.69999999999993"/>
    <x v="8"/>
    <x v="12"/>
    <x v="2"/>
    <x v="2"/>
    <x v="2"/>
    <x v="0"/>
    <x v="3"/>
    <n v="3"/>
    <x v="1"/>
    <x v="2"/>
  </r>
  <r>
    <x v="204"/>
    <x v="3"/>
    <x v="1"/>
    <n v="52.1"/>
    <n v="104.2"/>
    <x v="8"/>
    <x v="14"/>
    <x v="2"/>
    <x v="2"/>
    <x v="0"/>
    <x v="0"/>
    <x v="3"/>
    <n v="4"/>
    <x v="1"/>
    <x v="2"/>
  </r>
  <r>
    <x v="205"/>
    <x v="2"/>
    <x v="12"/>
    <n v="129.19999999999999"/>
    <n v="516.79999999999995"/>
    <x v="8"/>
    <x v="9"/>
    <x v="2"/>
    <x v="1"/>
    <x v="0"/>
    <x v="0"/>
    <x v="3"/>
    <n v="1"/>
    <x v="1"/>
    <x v="2"/>
  </r>
  <r>
    <x v="206"/>
    <x v="1"/>
    <x v="10"/>
    <n v="81.8"/>
    <n v="1554.2"/>
    <x v="8"/>
    <x v="8"/>
    <x v="2"/>
    <x v="1"/>
    <x v="1"/>
    <x v="0"/>
    <x v="3"/>
    <n v="0"/>
    <x v="1"/>
    <x v="2"/>
  </r>
  <r>
    <x v="207"/>
    <x v="17"/>
    <x v="0"/>
    <n v="24.9"/>
    <n v="24.9"/>
    <x v="8"/>
    <x v="14"/>
    <x v="2"/>
    <x v="1"/>
    <x v="0"/>
    <x v="0"/>
    <x v="3"/>
    <n v="4"/>
    <x v="1"/>
    <x v="2"/>
  </r>
  <r>
    <x v="208"/>
    <x v="0"/>
    <x v="2"/>
    <n v="49.4"/>
    <n v="148.19999999999999"/>
    <x v="8"/>
    <x v="12"/>
    <x v="2"/>
    <x v="4"/>
    <x v="4"/>
    <x v="0"/>
    <x v="3"/>
    <n v="3"/>
    <x v="1"/>
    <x v="2"/>
  </r>
  <r>
    <x v="209"/>
    <x v="8"/>
    <x v="1"/>
    <n v="22.7"/>
    <n v="45.4"/>
    <x v="8"/>
    <x v="9"/>
    <x v="1"/>
    <x v="3"/>
    <x v="2"/>
    <x v="0"/>
    <x v="3"/>
    <n v="1"/>
    <x v="1"/>
    <x v="1"/>
  </r>
  <r>
    <x v="210"/>
    <x v="1"/>
    <x v="0"/>
    <n v="77.3"/>
    <n v="77.3"/>
    <x v="8"/>
    <x v="8"/>
    <x v="2"/>
    <x v="0"/>
    <x v="2"/>
    <x v="0"/>
    <x v="6"/>
    <n v="0"/>
    <x v="1"/>
    <x v="2"/>
  </r>
  <r>
    <x v="211"/>
    <x v="1"/>
    <x v="9"/>
    <n v="109.1"/>
    <n v="545.5"/>
    <x v="8"/>
    <x v="12"/>
    <x v="2"/>
    <x v="0"/>
    <x v="0"/>
    <x v="0"/>
    <x v="6"/>
    <n v="3"/>
    <x v="1"/>
    <x v="2"/>
  </r>
  <r>
    <x v="212"/>
    <x v="2"/>
    <x v="12"/>
    <n v="53.9"/>
    <n v="215.6"/>
    <x v="8"/>
    <x v="9"/>
    <x v="1"/>
    <x v="0"/>
    <x v="1"/>
    <x v="0"/>
    <x v="8"/>
    <n v="1"/>
    <x v="1"/>
    <x v="1"/>
  </r>
  <r>
    <x v="213"/>
    <x v="9"/>
    <x v="18"/>
    <n v="21.2"/>
    <n v="551.19999999999993"/>
    <x v="8"/>
    <x v="8"/>
    <x v="2"/>
    <x v="0"/>
    <x v="0"/>
    <x v="0"/>
    <x v="9"/>
    <n v="0"/>
    <x v="1"/>
    <x v="2"/>
  </r>
  <r>
    <x v="214"/>
    <x v="16"/>
    <x v="12"/>
    <n v="69"/>
    <n v="276"/>
    <x v="8"/>
    <x v="7"/>
    <x v="2"/>
    <x v="1"/>
    <x v="1"/>
    <x v="0"/>
    <x v="18"/>
    <n v="2"/>
    <x v="1"/>
    <x v="2"/>
  </r>
  <r>
    <x v="215"/>
    <x v="6"/>
    <x v="2"/>
    <n v="46.2"/>
    <n v="138.60000000000002"/>
    <x v="8"/>
    <x v="7"/>
    <x v="2"/>
    <x v="0"/>
    <x v="2"/>
    <x v="0"/>
    <x v="31"/>
    <n v="2"/>
    <x v="1"/>
    <x v="2"/>
  </r>
  <r>
    <x v="216"/>
    <x v="1"/>
    <x v="9"/>
    <n v="97.4"/>
    <n v="487"/>
    <x v="8"/>
    <x v="14"/>
    <x v="2"/>
    <x v="4"/>
    <x v="2"/>
    <x v="0"/>
    <x v="21"/>
    <n v="4"/>
    <x v="1"/>
    <x v="2"/>
  </r>
  <r>
    <x v="217"/>
    <x v="8"/>
    <x v="9"/>
    <n v="21"/>
    <n v="105"/>
    <x v="8"/>
    <x v="9"/>
    <x v="1"/>
    <x v="0"/>
    <x v="1"/>
    <x v="0"/>
    <x v="21"/>
    <n v="1"/>
    <x v="1"/>
    <x v="1"/>
  </r>
  <r>
    <x v="218"/>
    <x v="5"/>
    <x v="1"/>
    <n v="32.700000000000003"/>
    <n v="65.400000000000006"/>
    <x v="9"/>
    <x v="14"/>
    <x v="2"/>
    <x v="1"/>
    <x v="0"/>
    <x v="0"/>
    <x v="2"/>
    <n v="3"/>
    <x v="1"/>
    <x v="2"/>
  </r>
  <r>
    <x v="219"/>
    <x v="6"/>
    <x v="12"/>
    <n v="48"/>
    <n v="192"/>
    <x v="9"/>
    <x v="7"/>
    <x v="1"/>
    <x v="3"/>
    <x v="0"/>
    <x v="0"/>
    <x v="3"/>
    <n v="1"/>
    <x v="1"/>
    <x v="1"/>
  </r>
  <r>
    <x v="220"/>
    <x v="6"/>
    <x v="2"/>
    <n v="68.2"/>
    <n v="204.60000000000002"/>
    <x v="9"/>
    <x v="16"/>
    <x v="0"/>
    <x v="0"/>
    <x v="2"/>
    <x v="0"/>
    <x v="3"/>
    <n v="4"/>
    <x v="1"/>
    <x v="0"/>
  </r>
  <r>
    <x v="221"/>
    <x v="5"/>
    <x v="0"/>
    <n v="45.4"/>
    <n v="45.4"/>
    <x v="9"/>
    <x v="12"/>
    <x v="1"/>
    <x v="1"/>
    <x v="0"/>
    <x v="0"/>
    <x v="3"/>
    <n v="2"/>
    <x v="1"/>
    <x v="1"/>
  </r>
  <r>
    <x v="222"/>
    <x v="12"/>
    <x v="1"/>
    <n v="53.9"/>
    <n v="107.8"/>
    <x v="9"/>
    <x v="7"/>
    <x v="2"/>
    <x v="2"/>
    <x v="0"/>
    <x v="0"/>
    <x v="3"/>
    <n v="1"/>
    <x v="1"/>
    <x v="2"/>
  </r>
  <r>
    <x v="223"/>
    <x v="2"/>
    <x v="12"/>
    <n v="62.1"/>
    <n v="248.4"/>
    <x v="9"/>
    <x v="16"/>
    <x v="2"/>
    <x v="0"/>
    <x v="0"/>
    <x v="0"/>
    <x v="4"/>
    <n v="4"/>
    <x v="1"/>
    <x v="2"/>
  </r>
  <r>
    <x v="224"/>
    <x v="13"/>
    <x v="3"/>
    <n v="33.1"/>
    <n v="231.70000000000002"/>
    <x v="9"/>
    <x v="11"/>
    <x v="1"/>
    <x v="1"/>
    <x v="0"/>
    <x v="0"/>
    <x v="6"/>
    <n v="5"/>
    <x v="1"/>
    <x v="1"/>
  </r>
  <r>
    <x v="225"/>
    <x v="18"/>
    <x v="9"/>
    <n v="35.200000000000003"/>
    <n v="176"/>
    <x v="9"/>
    <x v="9"/>
    <x v="2"/>
    <x v="1"/>
    <x v="0"/>
    <x v="0"/>
    <x v="6"/>
    <n v="0"/>
    <x v="1"/>
    <x v="2"/>
  </r>
  <r>
    <x v="226"/>
    <x v="9"/>
    <x v="2"/>
    <n v="32.1"/>
    <n v="96.300000000000011"/>
    <x v="9"/>
    <x v="11"/>
    <x v="1"/>
    <x v="3"/>
    <x v="0"/>
    <x v="0"/>
    <x v="8"/>
    <n v="5"/>
    <x v="1"/>
    <x v="1"/>
  </r>
  <r>
    <x v="227"/>
    <x v="11"/>
    <x v="0"/>
    <n v="38.1"/>
    <n v="38.1"/>
    <x v="9"/>
    <x v="11"/>
    <x v="2"/>
    <x v="0"/>
    <x v="2"/>
    <x v="0"/>
    <x v="8"/>
    <n v="5"/>
    <x v="1"/>
    <x v="2"/>
  </r>
  <r>
    <x v="228"/>
    <x v="8"/>
    <x v="0"/>
    <n v="65.2"/>
    <n v="65.2"/>
    <x v="9"/>
    <x v="11"/>
    <x v="2"/>
    <x v="3"/>
    <x v="1"/>
    <x v="0"/>
    <x v="8"/>
    <n v="5"/>
    <x v="1"/>
    <x v="2"/>
  </r>
  <r>
    <x v="229"/>
    <x v="10"/>
    <x v="3"/>
    <n v="55.2"/>
    <n v="386.40000000000003"/>
    <x v="9"/>
    <x v="7"/>
    <x v="1"/>
    <x v="2"/>
    <x v="0"/>
    <x v="0"/>
    <x v="11"/>
    <n v="1"/>
    <x v="1"/>
    <x v="1"/>
  </r>
  <r>
    <x v="230"/>
    <x v="6"/>
    <x v="0"/>
    <n v="62"/>
    <n v="62"/>
    <x v="9"/>
    <x v="16"/>
    <x v="2"/>
    <x v="0"/>
    <x v="0"/>
    <x v="0"/>
    <x v="11"/>
    <n v="4"/>
    <x v="1"/>
    <x v="2"/>
  </r>
  <r>
    <x v="231"/>
    <x v="7"/>
    <x v="2"/>
    <n v="45.9"/>
    <n v="137.69999999999999"/>
    <x v="9"/>
    <x v="7"/>
    <x v="2"/>
    <x v="2"/>
    <x v="0"/>
    <x v="0"/>
    <x v="32"/>
    <n v="1"/>
    <x v="1"/>
    <x v="2"/>
  </r>
  <r>
    <x v="232"/>
    <x v="18"/>
    <x v="2"/>
    <n v="58.3"/>
    <n v="174.89999999999998"/>
    <x v="9"/>
    <x v="9"/>
    <x v="1"/>
    <x v="1"/>
    <x v="1"/>
    <x v="0"/>
    <x v="18"/>
    <n v="0"/>
    <x v="1"/>
    <x v="1"/>
  </r>
  <r>
    <x v="233"/>
    <x v="8"/>
    <x v="1"/>
    <n v="22.3"/>
    <n v="44.6"/>
    <x v="9"/>
    <x v="14"/>
    <x v="2"/>
    <x v="0"/>
    <x v="2"/>
    <x v="0"/>
    <x v="20"/>
    <n v="3"/>
    <x v="1"/>
    <x v="2"/>
  </r>
  <r>
    <x v="234"/>
    <x v="19"/>
    <x v="9"/>
    <n v="24"/>
    <n v="120"/>
    <x v="9"/>
    <x v="7"/>
    <x v="1"/>
    <x v="4"/>
    <x v="0"/>
    <x v="0"/>
    <x v="1"/>
    <n v="1"/>
    <x v="1"/>
    <x v="1"/>
  </r>
  <r>
    <x v="235"/>
    <x v="0"/>
    <x v="7"/>
    <n v="21.3"/>
    <n v="213"/>
    <x v="9"/>
    <x v="9"/>
    <x v="2"/>
    <x v="1"/>
    <x v="2"/>
    <x v="0"/>
    <x v="22"/>
    <n v="0"/>
    <x v="1"/>
    <x v="2"/>
  </r>
  <r>
    <x v="236"/>
    <x v="6"/>
    <x v="24"/>
    <n v="57.8"/>
    <n v="2369.7999999999997"/>
    <x v="9"/>
    <x v="12"/>
    <x v="2"/>
    <x v="0"/>
    <x v="2"/>
    <x v="0"/>
    <x v="3"/>
    <n v="2"/>
    <x v="1"/>
    <x v="2"/>
  </r>
  <r>
    <x v="237"/>
    <x v="10"/>
    <x v="2"/>
    <n v="67.599999999999994"/>
    <n v="202.79999999999998"/>
    <x v="9"/>
    <x v="7"/>
    <x v="2"/>
    <x v="0"/>
    <x v="0"/>
    <x v="0"/>
    <x v="3"/>
    <n v="1"/>
    <x v="1"/>
    <x v="2"/>
  </r>
  <r>
    <x v="238"/>
    <x v="6"/>
    <x v="13"/>
    <n v="66.7"/>
    <n v="400.20000000000005"/>
    <x v="9"/>
    <x v="16"/>
    <x v="1"/>
    <x v="4"/>
    <x v="1"/>
    <x v="0"/>
    <x v="3"/>
    <n v="4"/>
    <x v="1"/>
    <x v="1"/>
  </r>
  <r>
    <x v="239"/>
    <x v="1"/>
    <x v="12"/>
    <n v="53.1"/>
    <n v="212.4"/>
    <x v="9"/>
    <x v="12"/>
    <x v="2"/>
    <x v="1"/>
    <x v="0"/>
    <x v="0"/>
    <x v="3"/>
    <n v="2"/>
    <x v="1"/>
    <x v="2"/>
  </r>
  <r>
    <x v="240"/>
    <x v="12"/>
    <x v="2"/>
    <n v="57.4"/>
    <n v="172.2"/>
    <x v="9"/>
    <x v="14"/>
    <x v="2"/>
    <x v="0"/>
    <x v="2"/>
    <x v="0"/>
    <x v="29"/>
    <n v="3"/>
    <x v="1"/>
    <x v="2"/>
  </r>
  <r>
    <x v="241"/>
    <x v="2"/>
    <x v="9"/>
    <n v="58.1"/>
    <n v="290.5"/>
    <x v="9"/>
    <x v="9"/>
    <x v="1"/>
    <x v="2"/>
    <x v="2"/>
    <x v="0"/>
    <x v="6"/>
    <n v="0"/>
    <x v="1"/>
    <x v="1"/>
  </r>
  <r>
    <x v="242"/>
    <x v="5"/>
    <x v="2"/>
    <n v="31.8"/>
    <n v="95.4"/>
    <x v="10"/>
    <x v="14"/>
    <x v="1"/>
    <x v="3"/>
    <x v="0"/>
    <x v="0"/>
    <x v="6"/>
    <n v="2"/>
    <x v="1"/>
    <x v="1"/>
  </r>
  <r>
    <x v="243"/>
    <x v="4"/>
    <x v="2"/>
    <n v="31.5"/>
    <n v="94.5"/>
    <x v="10"/>
    <x v="16"/>
    <x v="1"/>
    <x v="0"/>
    <x v="1"/>
    <x v="0"/>
    <x v="8"/>
    <n v="3"/>
    <x v="1"/>
    <x v="1"/>
  </r>
  <r>
    <x v="244"/>
    <x v="6"/>
    <x v="3"/>
    <n v="55.9"/>
    <n v="391.3"/>
    <x v="10"/>
    <x v="11"/>
    <x v="2"/>
    <x v="1"/>
    <x v="2"/>
    <x v="0"/>
    <x v="8"/>
    <n v="4"/>
    <x v="1"/>
    <x v="2"/>
  </r>
  <r>
    <x v="245"/>
    <x v="8"/>
    <x v="1"/>
    <n v="36.4"/>
    <n v="72.8"/>
    <x v="10"/>
    <x v="12"/>
    <x v="1"/>
    <x v="1"/>
    <x v="1"/>
    <x v="0"/>
    <x v="9"/>
    <n v="1"/>
    <x v="1"/>
    <x v="1"/>
  </r>
  <r>
    <x v="246"/>
    <x v="1"/>
    <x v="9"/>
    <n v="47.3"/>
    <n v="236.5"/>
    <x v="10"/>
    <x v="16"/>
    <x v="1"/>
    <x v="2"/>
    <x v="0"/>
    <x v="0"/>
    <x v="10"/>
    <n v="3"/>
    <x v="1"/>
    <x v="1"/>
  </r>
  <r>
    <x v="247"/>
    <x v="6"/>
    <x v="2"/>
    <n v="82.5"/>
    <n v="247.5"/>
    <x v="10"/>
    <x v="12"/>
    <x v="1"/>
    <x v="0"/>
    <x v="0"/>
    <x v="0"/>
    <x v="11"/>
    <n v="1"/>
    <x v="1"/>
    <x v="1"/>
  </r>
  <r>
    <x v="248"/>
    <x v="0"/>
    <x v="0"/>
    <n v="14.3"/>
    <n v="14.3"/>
    <x v="10"/>
    <x v="12"/>
    <x v="2"/>
    <x v="0"/>
    <x v="0"/>
    <x v="0"/>
    <x v="21"/>
    <n v="1"/>
    <x v="1"/>
    <x v="2"/>
  </r>
  <r>
    <x v="249"/>
    <x v="2"/>
    <x v="13"/>
    <n v="57.6"/>
    <n v="345.6"/>
    <x v="10"/>
    <x v="17"/>
    <x v="2"/>
    <x v="0"/>
    <x v="0"/>
    <x v="0"/>
    <x v="21"/>
    <n v="14"/>
    <x v="1"/>
    <x v="2"/>
  </r>
  <r>
    <x v="250"/>
    <x v="2"/>
    <x v="2"/>
    <n v="142.4"/>
    <n v="427.20000000000005"/>
    <x v="10"/>
    <x v="14"/>
    <x v="1"/>
    <x v="4"/>
    <x v="1"/>
    <x v="0"/>
    <x v="21"/>
    <n v="2"/>
    <x v="1"/>
    <x v="1"/>
  </r>
  <r>
    <x v="251"/>
    <x v="12"/>
    <x v="0"/>
    <n v="30.2"/>
    <n v="30.2"/>
    <x v="10"/>
    <x v="11"/>
    <x v="1"/>
    <x v="1"/>
    <x v="2"/>
    <x v="0"/>
    <x v="2"/>
    <n v="4"/>
    <x v="1"/>
    <x v="1"/>
  </r>
  <r>
    <x v="252"/>
    <x v="18"/>
    <x v="2"/>
    <n v="65.3"/>
    <n v="195.89999999999998"/>
    <x v="10"/>
    <x v="12"/>
    <x v="3"/>
    <x v="1"/>
    <x v="0"/>
    <x v="0"/>
    <x v="33"/>
    <n v="1"/>
    <x v="1"/>
    <x v="3"/>
  </r>
  <r>
    <x v="253"/>
    <x v="0"/>
    <x v="1"/>
    <n v="33.4"/>
    <n v="66.8"/>
    <x v="10"/>
    <x v="12"/>
    <x v="1"/>
    <x v="1"/>
    <x v="1"/>
    <x v="0"/>
    <x v="22"/>
    <n v="1"/>
    <x v="1"/>
    <x v="1"/>
  </r>
  <r>
    <x v="254"/>
    <x v="7"/>
    <x v="1"/>
    <n v="45.1"/>
    <n v="90.2"/>
    <x v="10"/>
    <x v="18"/>
    <x v="1"/>
    <x v="0"/>
    <x v="0"/>
    <x v="0"/>
    <x v="34"/>
    <n v="8"/>
    <x v="1"/>
    <x v="1"/>
  </r>
  <r>
    <x v="255"/>
    <x v="2"/>
    <x v="3"/>
    <n v="61.7"/>
    <n v="431.90000000000003"/>
    <x v="10"/>
    <x v="14"/>
    <x v="2"/>
    <x v="4"/>
    <x v="0"/>
    <x v="0"/>
    <x v="3"/>
    <n v="2"/>
    <x v="1"/>
    <x v="2"/>
  </r>
  <r>
    <x v="256"/>
    <x v="9"/>
    <x v="2"/>
    <n v="45.1"/>
    <n v="135.30000000000001"/>
    <x v="11"/>
    <x v="14"/>
    <x v="1"/>
    <x v="4"/>
    <x v="1"/>
    <x v="0"/>
    <x v="3"/>
    <n v="1"/>
    <x v="2"/>
    <x v="1"/>
  </r>
  <r>
    <x v="257"/>
    <x v="15"/>
    <x v="9"/>
    <n v="22.7"/>
    <n v="113.5"/>
    <x v="11"/>
    <x v="10"/>
    <x v="1"/>
    <x v="0"/>
    <x v="2"/>
    <x v="0"/>
    <x v="35"/>
    <n v="5"/>
    <x v="2"/>
    <x v="1"/>
  </r>
  <r>
    <x v="258"/>
    <x v="8"/>
    <x v="0"/>
    <n v="17.600000000000001"/>
    <n v="17.600000000000001"/>
    <x v="11"/>
    <x v="14"/>
    <x v="2"/>
    <x v="0"/>
    <x v="2"/>
    <x v="0"/>
    <x v="23"/>
    <n v="1"/>
    <x v="2"/>
    <x v="2"/>
  </r>
  <r>
    <x v="259"/>
    <x v="14"/>
    <x v="1"/>
    <n v="11.3"/>
    <n v="22.6"/>
    <x v="11"/>
    <x v="11"/>
    <x v="2"/>
    <x v="3"/>
    <x v="2"/>
    <x v="0"/>
    <x v="23"/>
    <n v="3"/>
    <x v="2"/>
    <x v="2"/>
  </r>
  <r>
    <x v="260"/>
    <x v="6"/>
    <x v="2"/>
    <n v="53.4"/>
    <n v="160.19999999999999"/>
    <x v="11"/>
    <x v="11"/>
    <x v="1"/>
    <x v="3"/>
    <x v="2"/>
    <x v="0"/>
    <x v="36"/>
    <n v="3"/>
    <x v="2"/>
    <x v="1"/>
  </r>
  <r>
    <x v="261"/>
    <x v="6"/>
    <x v="5"/>
    <n v="51.1"/>
    <n v="562.1"/>
    <x v="11"/>
    <x v="16"/>
    <x v="2"/>
    <x v="2"/>
    <x v="2"/>
    <x v="0"/>
    <x v="8"/>
    <n v="2"/>
    <x v="2"/>
    <x v="2"/>
  </r>
  <r>
    <x v="262"/>
    <x v="8"/>
    <x v="1"/>
    <n v="27.5"/>
    <n v="55"/>
    <x v="11"/>
    <x v="14"/>
    <x v="1"/>
    <x v="4"/>
    <x v="1"/>
    <x v="0"/>
    <x v="8"/>
    <n v="1"/>
    <x v="2"/>
    <x v="1"/>
  </r>
  <r>
    <x v="263"/>
    <x v="9"/>
    <x v="0"/>
    <n v="33.5"/>
    <n v="33.5"/>
    <x v="11"/>
    <x v="16"/>
    <x v="2"/>
    <x v="0"/>
    <x v="4"/>
    <x v="0"/>
    <x v="8"/>
    <n v="2"/>
    <x v="2"/>
    <x v="2"/>
  </r>
  <r>
    <x v="264"/>
    <x v="4"/>
    <x v="0"/>
    <n v="59.5"/>
    <n v="59.5"/>
    <x v="11"/>
    <x v="12"/>
    <x v="1"/>
    <x v="0"/>
    <x v="2"/>
    <x v="0"/>
    <x v="18"/>
    <n v="0"/>
    <x v="2"/>
    <x v="1"/>
  </r>
  <r>
    <x v="265"/>
    <x v="17"/>
    <x v="12"/>
    <n v="23.5"/>
    <n v="94"/>
    <x v="11"/>
    <x v="14"/>
    <x v="2"/>
    <x v="3"/>
    <x v="3"/>
    <x v="0"/>
    <x v="19"/>
    <n v="1"/>
    <x v="2"/>
    <x v="2"/>
  </r>
  <r>
    <x v="266"/>
    <x v="6"/>
    <x v="0"/>
    <n v="49.7"/>
    <n v="49.7"/>
    <x v="11"/>
    <x v="14"/>
    <x v="0"/>
    <x v="1"/>
    <x v="2"/>
    <x v="0"/>
    <x v="20"/>
    <n v="1"/>
    <x v="2"/>
    <x v="0"/>
  </r>
  <r>
    <x v="267"/>
    <x v="6"/>
    <x v="12"/>
    <n v="44.2"/>
    <n v="176.8"/>
    <x v="11"/>
    <x v="11"/>
    <x v="2"/>
    <x v="0"/>
    <x v="2"/>
    <x v="0"/>
    <x v="21"/>
    <n v="3"/>
    <x v="2"/>
    <x v="2"/>
  </r>
  <r>
    <x v="268"/>
    <x v="8"/>
    <x v="0"/>
    <n v="22.1"/>
    <n v="22.1"/>
    <x v="11"/>
    <x v="15"/>
    <x v="2"/>
    <x v="1"/>
    <x v="1"/>
    <x v="0"/>
    <x v="33"/>
    <n v="4"/>
    <x v="2"/>
    <x v="2"/>
  </r>
  <r>
    <x v="269"/>
    <x v="6"/>
    <x v="2"/>
    <n v="90.9"/>
    <n v="272.70000000000005"/>
    <x v="11"/>
    <x v="14"/>
    <x v="2"/>
    <x v="2"/>
    <x v="4"/>
    <x v="0"/>
    <x v="3"/>
    <n v="1"/>
    <x v="2"/>
    <x v="2"/>
  </r>
  <r>
    <x v="270"/>
    <x v="8"/>
    <x v="2"/>
    <n v="44.5"/>
    <n v="133.5"/>
    <x v="11"/>
    <x v="14"/>
    <x v="2"/>
    <x v="1"/>
    <x v="0"/>
    <x v="0"/>
    <x v="3"/>
    <n v="1"/>
    <x v="2"/>
    <x v="2"/>
  </r>
  <r>
    <x v="271"/>
    <x v="9"/>
    <x v="13"/>
    <n v="32.299999999999997"/>
    <n v="193.79999999999998"/>
    <x v="11"/>
    <x v="15"/>
    <x v="2"/>
    <x v="0"/>
    <x v="0"/>
    <x v="0"/>
    <x v="3"/>
    <n v="4"/>
    <x v="2"/>
    <x v="2"/>
  </r>
  <r>
    <x v="272"/>
    <x v="17"/>
    <x v="2"/>
    <n v="87.5"/>
    <n v="262.5"/>
    <x v="11"/>
    <x v="14"/>
    <x v="2"/>
    <x v="1"/>
    <x v="1"/>
    <x v="0"/>
    <x v="3"/>
    <n v="1"/>
    <x v="2"/>
    <x v="2"/>
  </r>
  <r>
    <x v="273"/>
    <x v="16"/>
    <x v="9"/>
    <n v="48.7"/>
    <n v="243.5"/>
    <x v="11"/>
    <x v="14"/>
    <x v="1"/>
    <x v="2"/>
    <x v="0"/>
    <x v="0"/>
    <x v="3"/>
    <n v="1"/>
    <x v="2"/>
    <x v="1"/>
  </r>
  <r>
    <x v="274"/>
    <x v="0"/>
    <x v="9"/>
    <n v="22.5"/>
    <n v="112.5"/>
    <x v="11"/>
    <x v="14"/>
    <x v="1"/>
    <x v="0"/>
    <x v="0"/>
    <x v="0"/>
    <x v="3"/>
    <n v="1"/>
    <x v="2"/>
    <x v="1"/>
  </r>
  <r>
    <x v="275"/>
    <x v="1"/>
    <x v="8"/>
    <n v="65.900000000000006"/>
    <n v="527.20000000000005"/>
    <x v="11"/>
    <x v="11"/>
    <x v="2"/>
    <x v="1"/>
    <x v="2"/>
    <x v="0"/>
    <x v="3"/>
    <n v="3"/>
    <x v="2"/>
    <x v="2"/>
  </r>
  <r>
    <x v="276"/>
    <x v="6"/>
    <x v="9"/>
    <n v="41.9"/>
    <n v="209.5"/>
    <x v="11"/>
    <x v="18"/>
    <x v="0"/>
    <x v="0"/>
    <x v="0"/>
    <x v="0"/>
    <x v="3"/>
    <n v="7"/>
    <x v="2"/>
    <x v="0"/>
  </r>
  <r>
    <x v="277"/>
    <x v="1"/>
    <x v="9"/>
    <n v="67.5"/>
    <n v="337.5"/>
    <x v="11"/>
    <x v="14"/>
    <x v="2"/>
    <x v="0"/>
    <x v="2"/>
    <x v="0"/>
    <x v="3"/>
    <n v="1"/>
    <x v="2"/>
    <x v="2"/>
  </r>
  <r>
    <x v="278"/>
    <x v="9"/>
    <x v="0"/>
    <n v="60.4"/>
    <n v="60.4"/>
    <x v="12"/>
    <x v="11"/>
    <x v="2"/>
    <x v="1"/>
    <x v="1"/>
    <x v="0"/>
    <x v="3"/>
    <n v="2"/>
    <x v="2"/>
    <x v="2"/>
  </r>
  <r>
    <x v="279"/>
    <x v="1"/>
    <x v="3"/>
    <n v="30.4"/>
    <n v="212.79999999999998"/>
    <x v="12"/>
    <x v="15"/>
    <x v="2"/>
    <x v="4"/>
    <x v="0"/>
    <x v="0"/>
    <x v="3"/>
    <n v="3"/>
    <x v="2"/>
    <x v="2"/>
  </r>
  <r>
    <x v="280"/>
    <x v="14"/>
    <x v="1"/>
    <n v="24.5"/>
    <n v="49"/>
    <x v="12"/>
    <x v="16"/>
    <x v="1"/>
    <x v="3"/>
    <x v="2"/>
    <x v="0"/>
    <x v="3"/>
    <n v="1"/>
    <x v="2"/>
    <x v="1"/>
  </r>
  <r>
    <x v="281"/>
    <x v="2"/>
    <x v="2"/>
    <n v="105.9"/>
    <n v="317.70000000000005"/>
    <x v="12"/>
    <x v="13"/>
    <x v="1"/>
    <x v="0"/>
    <x v="0"/>
    <x v="0"/>
    <x v="37"/>
    <n v="5"/>
    <x v="2"/>
    <x v="1"/>
  </r>
  <r>
    <x v="282"/>
    <x v="10"/>
    <x v="25"/>
    <n v="25.9"/>
    <n v="621.59999999999991"/>
    <x v="12"/>
    <x v="16"/>
    <x v="2"/>
    <x v="4"/>
    <x v="0"/>
    <x v="0"/>
    <x v="23"/>
    <n v="1"/>
    <x v="2"/>
    <x v="2"/>
  </r>
  <r>
    <x v="283"/>
    <x v="6"/>
    <x v="2"/>
    <n v="66.8"/>
    <n v="200.39999999999998"/>
    <x v="12"/>
    <x v="14"/>
    <x v="1"/>
    <x v="0"/>
    <x v="0"/>
    <x v="0"/>
    <x v="23"/>
    <n v="0"/>
    <x v="2"/>
    <x v="1"/>
  </r>
  <r>
    <x v="284"/>
    <x v="6"/>
    <x v="2"/>
    <n v="112.3"/>
    <n v="336.9"/>
    <x v="12"/>
    <x v="16"/>
    <x v="1"/>
    <x v="2"/>
    <x v="4"/>
    <x v="0"/>
    <x v="6"/>
    <n v="1"/>
    <x v="2"/>
    <x v="1"/>
  </r>
  <r>
    <x v="285"/>
    <x v="1"/>
    <x v="13"/>
    <n v="94.1"/>
    <n v="564.59999999999991"/>
    <x v="12"/>
    <x v="16"/>
    <x v="2"/>
    <x v="0"/>
    <x v="4"/>
    <x v="0"/>
    <x v="6"/>
    <n v="1"/>
    <x v="2"/>
    <x v="2"/>
  </r>
  <r>
    <x v="286"/>
    <x v="5"/>
    <x v="0"/>
    <n v="40.700000000000003"/>
    <n v="40.700000000000003"/>
    <x v="12"/>
    <x v="15"/>
    <x v="2"/>
    <x v="2"/>
    <x v="0"/>
    <x v="0"/>
    <x v="6"/>
    <n v="3"/>
    <x v="2"/>
    <x v="2"/>
  </r>
  <r>
    <x v="287"/>
    <x v="3"/>
    <x v="1"/>
    <n v="71.400000000000006"/>
    <n v="142.80000000000001"/>
    <x v="12"/>
    <x v="16"/>
    <x v="1"/>
    <x v="0"/>
    <x v="0"/>
    <x v="0"/>
    <x v="7"/>
    <n v="1"/>
    <x v="2"/>
    <x v="1"/>
  </r>
  <r>
    <x v="288"/>
    <x v="0"/>
    <x v="16"/>
    <n v="15.6"/>
    <n v="280.8"/>
    <x v="12"/>
    <x v="16"/>
    <x v="1"/>
    <x v="1"/>
    <x v="3"/>
    <x v="0"/>
    <x v="8"/>
    <n v="1"/>
    <x v="2"/>
    <x v="1"/>
  </r>
  <r>
    <x v="289"/>
    <x v="10"/>
    <x v="12"/>
    <n v="37.799999999999997"/>
    <n v="151.19999999999999"/>
    <x v="12"/>
    <x v="16"/>
    <x v="1"/>
    <x v="2"/>
    <x v="2"/>
    <x v="0"/>
    <x v="8"/>
    <n v="1"/>
    <x v="2"/>
    <x v="1"/>
  </r>
  <r>
    <x v="290"/>
    <x v="4"/>
    <x v="2"/>
    <n v="28.1"/>
    <n v="84.300000000000011"/>
    <x v="12"/>
    <x v="10"/>
    <x v="1"/>
    <x v="0"/>
    <x v="0"/>
    <x v="0"/>
    <x v="8"/>
    <n v="4"/>
    <x v="2"/>
    <x v="1"/>
  </r>
  <r>
    <x v="291"/>
    <x v="7"/>
    <x v="13"/>
    <n v="51.4"/>
    <n v="308.39999999999998"/>
    <x v="12"/>
    <x v="10"/>
    <x v="1"/>
    <x v="0"/>
    <x v="0"/>
    <x v="0"/>
    <x v="8"/>
    <n v="4"/>
    <x v="2"/>
    <x v="1"/>
  </r>
  <r>
    <x v="292"/>
    <x v="7"/>
    <x v="1"/>
    <n v="97.7"/>
    <n v="195.4"/>
    <x v="12"/>
    <x v="11"/>
    <x v="2"/>
    <x v="4"/>
    <x v="2"/>
    <x v="0"/>
    <x v="17"/>
    <n v="2"/>
    <x v="2"/>
    <x v="2"/>
  </r>
  <r>
    <x v="293"/>
    <x v="1"/>
    <x v="12"/>
    <n v="63.8"/>
    <n v="255.2"/>
    <x v="12"/>
    <x v="16"/>
    <x v="1"/>
    <x v="2"/>
    <x v="0"/>
    <x v="0"/>
    <x v="38"/>
    <n v="1"/>
    <x v="2"/>
    <x v="1"/>
  </r>
  <r>
    <x v="294"/>
    <x v="13"/>
    <x v="1"/>
    <n v="20.100000000000001"/>
    <n v="40.200000000000003"/>
    <x v="12"/>
    <x v="11"/>
    <x v="1"/>
    <x v="0"/>
    <x v="2"/>
    <x v="0"/>
    <x v="20"/>
    <n v="2"/>
    <x v="2"/>
    <x v="1"/>
  </r>
  <r>
    <x v="295"/>
    <x v="11"/>
    <x v="2"/>
    <n v="50.4"/>
    <n v="151.19999999999999"/>
    <x v="12"/>
    <x v="15"/>
    <x v="2"/>
    <x v="3"/>
    <x v="0"/>
    <x v="0"/>
    <x v="13"/>
    <n v="3"/>
    <x v="2"/>
    <x v="2"/>
  </r>
  <r>
    <x v="296"/>
    <x v="0"/>
    <x v="0"/>
    <n v="16.2"/>
    <n v="16.2"/>
    <x v="12"/>
    <x v="19"/>
    <x v="2"/>
    <x v="1"/>
    <x v="0"/>
    <x v="0"/>
    <x v="1"/>
    <n v="13"/>
    <x v="2"/>
    <x v="2"/>
  </r>
  <r>
    <x v="297"/>
    <x v="6"/>
    <x v="3"/>
    <n v="80.900000000000006"/>
    <n v="566.30000000000007"/>
    <x v="12"/>
    <x v="11"/>
    <x v="1"/>
    <x v="4"/>
    <x v="4"/>
    <x v="0"/>
    <x v="2"/>
    <n v="2"/>
    <x v="2"/>
    <x v="1"/>
  </r>
  <r>
    <x v="298"/>
    <x v="9"/>
    <x v="13"/>
    <n v="95.2"/>
    <n v="571.20000000000005"/>
    <x v="12"/>
    <x v="11"/>
    <x v="2"/>
    <x v="0"/>
    <x v="2"/>
    <x v="0"/>
    <x v="2"/>
    <n v="2"/>
    <x v="2"/>
    <x v="2"/>
  </r>
  <r>
    <x v="299"/>
    <x v="5"/>
    <x v="8"/>
    <n v="70.400000000000006"/>
    <n v="563.20000000000005"/>
    <x v="12"/>
    <x v="16"/>
    <x v="1"/>
    <x v="1"/>
    <x v="1"/>
    <x v="0"/>
    <x v="3"/>
    <n v="1"/>
    <x v="2"/>
    <x v="1"/>
  </r>
  <r>
    <x v="300"/>
    <x v="0"/>
    <x v="9"/>
    <n v="10.7"/>
    <n v="53.5"/>
    <x v="12"/>
    <x v="10"/>
    <x v="2"/>
    <x v="2"/>
    <x v="0"/>
    <x v="0"/>
    <x v="3"/>
    <n v="4"/>
    <x v="2"/>
    <x v="2"/>
  </r>
  <r>
    <x v="301"/>
    <x v="8"/>
    <x v="9"/>
    <n v="19.600000000000001"/>
    <n v="98"/>
    <x v="12"/>
    <x v="11"/>
    <x v="2"/>
    <x v="0"/>
    <x v="3"/>
    <x v="0"/>
    <x v="3"/>
    <n v="2"/>
    <x v="2"/>
    <x v="2"/>
  </r>
  <r>
    <x v="302"/>
    <x v="8"/>
    <x v="5"/>
    <n v="34.700000000000003"/>
    <n v="381.70000000000005"/>
    <x v="12"/>
    <x v="11"/>
    <x v="2"/>
    <x v="0"/>
    <x v="2"/>
    <x v="0"/>
    <x v="3"/>
    <n v="2"/>
    <x v="2"/>
    <x v="2"/>
  </r>
  <r>
    <x v="303"/>
    <x v="10"/>
    <x v="11"/>
    <n v="34.1"/>
    <n v="306.90000000000003"/>
    <x v="12"/>
    <x v="16"/>
    <x v="2"/>
    <x v="4"/>
    <x v="1"/>
    <x v="0"/>
    <x v="3"/>
    <n v="1"/>
    <x v="2"/>
    <x v="2"/>
  </r>
  <r>
    <x v="304"/>
    <x v="0"/>
    <x v="26"/>
    <n v="29.3"/>
    <n v="1435.7"/>
    <x v="12"/>
    <x v="14"/>
    <x v="1"/>
    <x v="0"/>
    <x v="1"/>
    <x v="0"/>
    <x v="3"/>
    <n v="0"/>
    <x v="2"/>
    <x v="1"/>
  </r>
  <r>
    <x v="305"/>
    <x v="1"/>
    <x v="0"/>
    <n v="55.2"/>
    <n v="55.2"/>
    <x v="12"/>
    <x v="16"/>
    <x v="2"/>
    <x v="0"/>
    <x v="1"/>
    <x v="0"/>
    <x v="3"/>
    <n v="1"/>
    <x v="2"/>
    <x v="2"/>
  </r>
  <r>
    <x v="306"/>
    <x v="18"/>
    <x v="2"/>
    <n v="26"/>
    <n v="78"/>
    <x v="12"/>
    <x v="15"/>
    <x v="2"/>
    <x v="0"/>
    <x v="2"/>
    <x v="0"/>
    <x v="3"/>
    <n v="3"/>
    <x v="2"/>
    <x v="2"/>
  </r>
  <r>
    <x v="307"/>
    <x v="14"/>
    <x v="1"/>
    <n v="14.2"/>
    <n v="28.4"/>
    <x v="12"/>
    <x v="13"/>
    <x v="2"/>
    <x v="3"/>
    <x v="0"/>
    <x v="0"/>
    <x v="39"/>
    <n v="5"/>
    <x v="2"/>
    <x v="2"/>
  </r>
  <r>
    <x v="308"/>
    <x v="8"/>
    <x v="11"/>
    <n v="22.7"/>
    <n v="204.29999999999998"/>
    <x v="13"/>
    <x v="11"/>
    <x v="1"/>
    <x v="1"/>
    <x v="0"/>
    <x v="0"/>
    <x v="6"/>
    <n v="1"/>
    <x v="2"/>
    <x v="1"/>
  </r>
  <r>
    <x v="309"/>
    <x v="0"/>
    <x v="20"/>
    <n v="19.8"/>
    <n v="297"/>
    <x v="13"/>
    <x v="16"/>
    <x v="2"/>
    <x v="0"/>
    <x v="2"/>
    <x v="0"/>
    <x v="6"/>
    <n v="0"/>
    <x v="2"/>
    <x v="2"/>
  </r>
  <r>
    <x v="310"/>
    <x v="0"/>
    <x v="2"/>
    <n v="31.7"/>
    <n v="95.1"/>
    <x v="13"/>
    <x v="11"/>
    <x v="1"/>
    <x v="2"/>
    <x v="0"/>
    <x v="0"/>
    <x v="6"/>
    <n v="1"/>
    <x v="2"/>
    <x v="1"/>
  </r>
  <r>
    <x v="311"/>
    <x v="8"/>
    <x v="12"/>
    <n v="30.4"/>
    <n v="121.6"/>
    <x v="13"/>
    <x v="13"/>
    <x v="1"/>
    <x v="0"/>
    <x v="0"/>
    <x v="0"/>
    <x v="6"/>
    <n v="4"/>
    <x v="2"/>
    <x v="1"/>
  </r>
  <r>
    <x v="312"/>
    <x v="0"/>
    <x v="12"/>
    <n v="25.6"/>
    <n v="102.4"/>
    <x v="13"/>
    <x v="11"/>
    <x v="1"/>
    <x v="3"/>
    <x v="0"/>
    <x v="0"/>
    <x v="8"/>
    <n v="1"/>
    <x v="2"/>
    <x v="1"/>
  </r>
  <r>
    <x v="313"/>
    <x v="5"/>
    <x v="1"/>
    <n v="34.9"/>
    <n v="69.8"/>
    <x v="13"/>
    <x v="11"/>
    <x v="2"/>
    <x v="2"/>
    <x v="0"/>
    <x v="0"/>
    <x v="9"/>
    <n v="1"/>
    <x v="2"/>
    <x v="2"/>
  </r>
  <r>
    <x v="314"/>
    <x v="7"/>
    <x v="13"/>
    <n v="42.7"/>
    <n v="256.20000000000005"/>
    <x v="13"/>
    <x v="10"/>
    <x v="1"/>
    <x v="2"/>
    <x v="1"/>
    <x v="0"/>
    <x v="11"/>
    <n v="3"/>
    <x v="2"/>
    <x v="1"/>
  </r>
  <r>
    <x v="315"/>
    <x v="8"/>
    <x v="0"/>
    <n v="23.9"/>
    <n v="23.9"/>
    <x v="13"/>
    <x v="15"/>
    <x v="2"/>
    <x v="3"/>
    <x v="0"/>
    <x v="0"/>
    <x v="11"/>
    <n v="2"/>
    <x v="2"/>
    <x v="2"/>
  </r>
  <r>
    <x v="316"/>
    <x v="6"/>
    <x v="0"/>
    <n v="124.3"/>
    <n v="124.3"/>
    <x v="13"/>
    <x v="11"/>
    <x v="0"/>
    <x v="2"/>
    <x v="1"/>
    <x v="0"/>
    <x v="21"/>
    <n v="1"/>
    <x v="2"/>
    <x v="0"/>
  </r>
  <r>
    <x v="317"/>
    <x v="8"/>
    <x v="13"/>
    <n v="35.9"/>
    <n v="215.39999999999998"/>
    <x v="13"/>
    <x v="11"/>
    <x v="2"/>
    <x v="0"/>
    <x v="1"/>
    <x v="0"/>
    <x v="1"/>
    <n v="1"/>
    <x v="2"/>
    <x v="2"/>
  </r>
  <r>
    <x v="318"/>
    <x v="2"/>
    <x v="1"/>
    <n v="69.099999999999994"/>
    <n v="138.19999999999999"/>
    <x v="13"/>
    <x v="10"/>
    <x v="2"/>
    <x v="0"/>
    <x v="2"/>
    <x v="0"/>
    <x v="22"/>
    <n v="3"/>
    <x v="2"/>
    <x v="2"/>
  </r>
  <r>
    <x v="319"/>
    <x v="7"/>
    <x v="0"/>
    <n v="58.4"/>
    <n v="58.4"/>
    <x v="13"/>
    <x v="13"/>
    <x v="1"/>
    <x v="0"/>
    <x v="0"/>
    <x v="0"/>
    <x v="22"/>
    <n v="4"/>
    <x v="2"/>
    <x v="1"/>
  </r>
  <r>
    <x v="320"/>
    <x v="5"/>
    <x v="0"/>
    <n v="65.2"/>
    <n v="65.2"/>
    <x v="13"/>
    <x v="15"/>
    <x v="3"/>
    <x v="4"/>
    <x v="4"/>
    <x v="0"/>
    <x v="3"/>
    <n v="2"/>
    <x v="2"/>
    <x v="3"/>
  </r>
  <r>
    <x v="321"/>
    <x v="8"/>
    <x v="14"/>
    <n v="32.700000000000003"/>
    <n v="555.90000000000009"/>
    <x v="13"/>
    <x v="20"/>
    <x v="0"/>
    <x v="4"/>
    <x v="0"/>
    <x v="0"/>
    <x v="3"/>
    <n v="7"/>
    <x v="2"/>
    <x v="0"/>
  </r>
  <r>
    <x v="322"/>
    <x v="10"/>
    <x v="3"/>
    <n v="24.4"/>
    <n v="170.79999999999998"/>
    <x v="13"/>
    <x v="11"/>
    <x v="2"/>
    <x v="0"/>
    <x v="0"/>
    <x v="0"/>
    <x v="3"/>
    <n v="1"/>
    <x v="2"/>
    <x v="2"/>
  </r>
  <r>
    <x v="323"/>
    <x v="14"/>
    <x v="1"/>
    <n v="50.4"/>
    <n v="100.8"/>
    <x v="13"/>
    <x v="21"/>
    <x v="1"/>
    <x v="0"/>
    <x v="1"/>
    <x v="0"/>
    <x v="3"/>
    <n v="6"/>
    <x v="2"/>
    <x v="1"/>
  </r>
  <r>
    <x v="324"/>
    <x v="1"/>
    <x v="1"/>
    <n v="100"/>
    <n v="200"/>
    <x v="13"/>
    <x v="11"/>
    <x v="2"/>
    <x v="0"/>
    <x v="0"/>
    <x v="0"/>
    <x v="3"/>
    <n v="1"/>
    <x v="2"/>
    <x v="2"/>
  </r>
  <r>
    <x v="325"/>
    <x v="10"/>
    <x v="2"/>
    <n v="43"/>
    <n v="129"/>
    <x v="14"/>
    <x v="11"/>
    <x v="2"/>
    <x v="2"/>
    <x v="1"/>
    <x v="0"/>
    <x v="3"/>
    <n v="0"/>
    <x v="2"/>
    <x v="2"/>
  </r>
  <r>
    <x v="326"/>
    <x v="1"/>
    <x v="9"/>
    <n v="64.400000000000006"/>
    <n v="322"/>
    <x v="14"/>
    <x v="10"/>
    <x v="1"/>
    <x v="2"/>
    <x v="1"/>
    <x v="0"/>
    <x v="3"/>
    <n v="2"/>
    <x v="2"/>
    <x v="1"/>
  </r>
  <r>
    <x v="327"/>
    <x v="18"/>
    <x v="1"/>
    <n v="57.4"/>
    <n v="114.8"/>
    <x v="14"/>
    <x v="15"/>
    <x v="1"/>
    <x v="2"/>
    <x v="1"/>
    <x v="0"/>
    <x v="3"/>
    <n v="1"/>
    <x v="2"/>
    <x v="1"/>
  </r>
  <r>
    <x v="328"/>
    <x v="2"/>
    <x v="2"/>
    <n v="55.1"/>
    <n v="165.3"/>
    <x v="14"/>
    <x v="13"/>
    <x v="2"/>
    <x v="1"/>
    <x v="0"/>
    <x v="0"/>
    <x v="3"/>
    <n v="3"/>
    <x v="2"/>
    <x v="2"/>
  </r>
  <r>
    <x v="329"/>
    <x v="7"/>
    <x v="12"/>
    <n v="45.4"/>
    <n v="181.6"/>
    <x v="14"/>
    <x v="15"/>
    <x v="2"/>
    <x v="1"/>
    <x v="0"/>
    <x v="0"/>
    <x v="3"/>
    <n v="1"/>
    <x v="2"/>
    <x v="2"/>
  </r>
  <r>
    <x v="330"/>
    <x v="3"/>
    <x v="2"/>
    <n v="93.3"/>
    <n v="279.89999999999998"/>
    <x v="14"/>
    <x v="15"/>
    <x v="2"/>
    <x v="0"/>
    <x v="0"/>
    <x v="0"/>
    <x v="40"/>
    <n v="1"/>
    <x v="2"/>
    <x v="2"/>
  </r>
  <r>
    <x v="331"/>
    <x v="2"/>
    <x v="10"/>
    <n v="158.19999999999999"/>
    <n v="3005.7999999999997"/>
    <x v="14"/>
    <x v="15"/>
    <x v="2"/>
    <x v="1"/>
    <x v="2"/>
    <x v="0"/>
    <x v="16"/>
    <n v="1"/>
    <x v="2"/>
    <x v="2"/>
  </r>
  <r>
    <x v="332"/>
    <x v="2"/>
    <x v="1"/>
    <n v="74.900000000000006"/>
    <n v="149.80000000000001"/>
    <x v="14"/>
    <x v="10"/>
    <x v="1"/>
    <x v="3"/>
    <x v="0"/>
    <x v="0"/>
    <x v="6"/>
    <n v="2"/>
    <x v="2"/>
    <x v="1"/>
  </r>
  <r>
    <x v="333"/>
    <x v="8"/>
    <x v="3"/>
    <n v="26"/>
    <n v="182"/>
    <x v="14"/>
    <x v="13"/>
    <x v="2"/>
    <x v="1"/>
    <x v="0"/>
    <x v="0"/>
    <x v="8"/>
    <n v="3"/>
    <x v="2"/>
    <x v="2"/>
  </r>
  <r>
    <x v="334"/>
    <x v="9"/>
    <x v="13"/>
    <n v="37.5"/>
    <n v="225"/>
    <x v="14"/>
    <x v="15"/>
    <x v="2"/>
    <x v="0"/>
    <x v="1"/>
    <x v="0"/>
    <x v="8"/>
    <n v="1"/>
    <x v="2"/>
    <x v="2"/>
  </r>
  <r>
    <x v="335"/>
    <x v="6"/>
    <x v="1"/>
    <n v="75.8"/>
    <n v="151.6"/>
    <x v="14"/>
    <x v="20"/>
    <x v="1"/>
    <x v="0"/>
    <x v="0"/>
    <x v="0"/>
    <x v="8"/>
    <n v="6"/>
    <x v="2"/>
    <x v="1"/>
  </r>
  <r>
    <x v="336"/>
    <x v="7"/>
    <x v="0"/>
    <n v="48.5"/>
    <n v="48.5"/>
    <x v="14"/>
    <x v="22"/>
    <x v="0"/>
    <x v="4"/>
    <x v="2"/>
    <x v="0"/>
    <x v="8"/>
    <n v="12"/>
    <x v="2"/>
    <x v="0"/>
  </r>
  <r>
    <x v="337"/>
    <x v="6"/>
    <x v="2"/>
    <n v="98.9"/>
    <n v="296.70000000000005"/>
    <x v="14"/>
    <x v="10"/>
    <x v="2"/>
    <x v="4"/>
    <x v="1"/>
    <x v="0"/>
    <x v="8"/>
    <n v="2"/>
    <x v="2"/>
    <x v="2"/>
  </r>
  <r>
    <x v="338"/>
    <x v="1"/>
    <x v="4"/>
    <n v="50.9"/>
    <n v="610.79999999999995"/>
    <x v="14"/>
    <x v="11"/>
    <x v="1"/>
    <x v="4"/>
    <x v="0"/>
    <x v="0"/>
    <x v="8"/>
    <n v="0"/>
    <x v="2"/>
    <x v="1"/>
  </r>
  <r>
    <x v="339"/>
    <x v="12"/>
    <x v="13"/>
    <n v="84.7"/>
    <n v="508.20000000000005"/>
    <x v="14"/>
    <x v="11"/>
    <x v="2"/>
    <x v="2"/>
    <x v="0"/>
    <x v="0"/>
    <x v="8"/>
    <n v="0"/>
    <x v="2"/>
    <x v="2"/>
  </r>
  <r>
    <x v="340"/>
    <x v="8"/>
    <x v="0"/>
    <n v="20.7"/>
    <n v="20.7"/>
    <x v="14"/>
    <x v="10"/>
    <x v="2"/>
    <x v="3"/>
    <x v="2"/>
    <x v="0"/>
    <x v="8"/>
    <n v="2"/>
    <x v="2"/>
    <x v="2"/>
  </r>
  <r>
    <x v="341"/>
    <x v="12"/>
    <x v="11"/>
    <n v="57.8"/>
    <n v="520.19999999999993"/>
    <x v="14"/>
    <x v="19"/>
    <x v="1"/>
    <x v="0"/>
    <x v="4"/>
    <x v="0"/>
    <x v="17"/>
    <n v="11"/>
    <x v="2"/>
    <x v="1"/>
  </r>
  <r>
    <x v="342"/>
    <x v="2"/>
    <x v="1"/>
    <n v="106.9"/>
    <n v="213.8"/>
    <x v="14"/>
    <x v="10"/>
    <x v="2"/>
    <x v="0"/>
    <x v="2"/>
    <x v="0"/>
    <x v="41"/>
    <n v="2"/>
    <x v="2"/>
    <x v="2"/>
  </r>
  <r>
    <x v="343"/>
    <x v="3"/>
    <x v="9"/>
    <n v="45.2"/>
    <n v="226"/>
    <x v="14"/>
    <x v="18"/>
    <x v="2"/>
    <x v="1"/>
    <x v="0"/>
    <x v="0"/>
    <x v="21"/>
    <n v="4"/>
    <x v="2"/>
    <x v="2"/>
  </r>
  <r>
    <x v="344"/>
    <x v="8"/>
    <x v="15"/>
    <n v="34.6"/>
    <n v="449.8"/>
    <x v="14"/>
    <x v="11"/>
    <x v="2"/>
    <x v="1"/>
    <x v="1"/>
    <x v="0"/>
    <x v="21"/>
    <n v="0"/>
    <x v="2"/>
    <x v="2"/>
  </r>
  <r>
    <x v="345"/>
    <x v="15"/>
    <x v="0"/>
    <n v="43.8"/>
    <n v="43.8"/>
    <x v="14"/>
    <x v="10"/>
    <x v="0"/>
    <x v="0"/>
    <x v="2"/>
    <x v="0"/>
    <x v="21"/>
    <n v="2"/>
    <x v="2"/>
    <x v="0"/>
  </r>
  <r>
    <x v="346"/>
    <x v="15"/>
    <x v="0"/>
    <n v="20.399999999999999"/>
    <n v="20.399999999999999"/>
    <x v="14"/>
    <x v="10"/>
    <x v="1"/>
    <x v="4"/>
    <x v="1"/>
    <x v="0"/>
    <x v="21"/>
    <n v="2"/>
    <x v="2"/>
    <x v="1"/>
  </r>
  <r>
    <x v="347"/>
    <x v="1"/>
    <x v="0"/>
    <n v="36.700000000000003"/>
    <n v="36.700000000000003"/>
    <x v="14"/>
    <x v="15"/>
    <x v="1"/>
    <x v="0"/>
    <x v="1"/>
    <x v="0"/>
    <x v="1"/>
    <n v="1"/>
    <x v="2"/>
    <x v="1"/>
  </r>
  <r>
    <x v="348"/>
    <x v="8"/>
    <x v="2"/>
    <n v="27.2"/>
    <n v="81.599999999999994"/>
    <x v="14"/>
    <x v="18"/>
    <x v="1"/>
    <x v="0"/>
    <x v="2"/>
    <x v="0"/>
    <x v="1"/>
    <n v="4"/>
    <x v="2"/>
    <x v="1"/>
  </r>
  <r>
    <x v="349"/>
    <x v="6"/>
    <x v="0"/>
    <n v="58.2"/>
    <n v="58.2"/>
    <x v="14"/>
    <x v="15"/>
    <x v="2"/>
    <x v="0"/>
    <x v="2"/>
    <x v="0"/>
    <x v="42"/>
    <n v="1"/>
    <x v="2"/>
    <x v="2"/>
  </r>
  <r>
    <x v="350"/>
    <x v="8"/>
    <x v="2"/>
    <n v="25.6"/>
    <n v="76.800000000000011"/>
    <x v="14"/>
    <x v="15"/>
    <x v="1"/>
    <x v="4"/>
    <x v="4"/>
    <x v="0"/>
    <x v="2"/>
    <n v="1"/>
    <x v="2"/>
    <x v="1"/>
  </r>
  <r>
    <x v="351"/>
    <x v="10"/>
    <x v="0"/>
    <n v="21.2"/>
    <n v="21.2"/>
    <x v="14"/>
    <x v="11"/>
    <x v="2"/>
    <x v="1"/>
    <x v="2"/>
    <x v="0"/>
    <x v="3"/>
    <n v="0"/>
    <x v="2"/>
    <x v="2"/>
  </r>
  <r>
    <x v="352"/>
    <x v="6"/>
    <x v="1"/>
    <n v="48.2"/>
    <n v="96.4"/>
    <x v="14"/>
    <x v="23"/>
    <x v="2"/>
    <x v="0"/>
    <x v="2"/>
    <x v="0"/>
    <x v="3"/>
    <n v="8"/>
    <x v="2"/>
    <x v="2"/>
  </r>
  <r>
    <x v="353"/>
    <x v="1"/>
    <x v="12"/>
    <n v="83.4"/>
    <n v="333.6"/>
    <x v="15"/>
    <x v="10"/>
    <x v="1"/>
    <x v="0"/>
    <x v="0"/>
    <x v="0"/>
    <x v="3"/>
    <n v="1"/>
    <x v="2"/>
    <x v="1"/>
  </r>
  <r>
    <x v="354"/>
    <x v="9"/>
    <x v="2"/>
    <n v="45.3"/>
    <n v="135.89999999999998"/>
    <x v="15"/>
    <x v="24"/>
    <x v="1"/>
    <x v="2"/>
    <x v="1"/>
    <x v="0"/>
    <x v="3"/>
    <n v="6"/>
    <x v="2"/>
    <x v="1"/>
  </r>
  <r>
    <x v="355"/>
    <x v="17"/>
    <x v="0"/>
    <n v="42"/>
    <n v="42"/>
    <x v="15"/>
    <x v="10"/>
    <x v="0"/>
    <x v="0"/>
    <x v="0"/>
    <x v="0"/>
    <x v="3"/>
    <n v="1"/>
    <x v="2"/>
    <x v="0"/>
  </r>
  <r>
    <x v="356"/>
    <x v="0"/>
    <x v="11"/>
    <n v="21.8"/>
    <n v="196.20000000000002"/>
    <x v="15"/>
    <x v="13"/>
    <x v="2"/>
    <x v="1"/>
    <x v="0"/>
    <x v="0"/>
    <x v="3"/>
    <n v="2"/>
    <x v="2"/>
    <x v="2"/>
  </r>
  <r>
    <x v="357"/>
    <x v="8"/>
    <x v="16"/>
    <n v="21.4"/>
    <n v="385.2"/>
    <x v="15"/>
    <x v="18"/>
    <x v="2"/>
    <x v="1"/>
    <x v="2"/>
    <x v="0"/>
    <x v="3"/>
    <n v="3"/>
    <x v="2"/>
    <x v="2"/>
  </r>
  <r>
    <x v="358"/>
    <x v="10"/>
    <x v="2"/>
    <n v="45"/>
    <n v="135"/>
    <x v="15"/>
    <x v="15"/>
    <x v="2"/>
    <x v="1"/>
    <x v="2"/>
    <x v="0"/>
    <x v="3"/>
    <n v="0"/>
    <x v="2"/>
    <x v="2"/>
  </r>
  <r>
    <x v="359"/>
    <x v="14"/>
    <x v="0"/>
    <n v="39.6"/>
    <n v="39.6"/>
    <x v="15"/>
    <x v="10"/>
    <x v="1"/>
    <x v="0"/>
    <x v="2"/>
    <x v="0"/>
    <x v="3"/>
    <n v="1"/>
    <x v="2"/>
    <x v="1"/>
  </r>
  <r>
    <x v="360"/>
    <x v="12"/>
    <x v="2"/>
    <n v="79.8"/>
    <n v="239.39999999999998"/>
    <x v="15"/>
    <x v="24"/>
    <x v="2"/>
    <x v="1"/>
    <x v="4"/>
    <x v="0"/>
    <x v="3"/>
    <n v="6"/>
    <x v="2"/>
    <x v="2"/>
  </r>
  <r>
    <x v="361"/>
    <x v="1"/>
    <x v="12"/>
    <n v="63.6"/>
    <n v="254.4"/>
    <x v="15"/>
    <x v="10"/>
    <x v="3"/>
    <x v="0"/>
    <x v="2"/>
    <x v="0"/>
    <x v="24"/>
    <n v="1"/>
    <x v="2"/>
    <x v="3"/>
  </r>
  <r>
    <x v="362"/>
    <x v="7"/>
    <x v="7"/>
    <n v="92.7"/>
    <n v="927"/>
    <x v="15"/>
    <x v="21"/>
    <x v="1"/>
    <x v="1"/>
    <x v="2"/>
    <x v="0"/>
    <x v="6"/>
    <n v="4"/>
    <x v="2"/>
    <x v="1"/>
  </r>
  <r>
    <x v="363"/>
    <x v="1"/>
    <x v="12"/>
    <n v="48.4"/>
    <n v="193.6"/>
    <x v="15"/>
    <x v="13"/>
    <x v="2"/>
    <x v="1"/>
    <x v="2"/>
    <x v="0"/>
    <x v="6"/>
    <n v="2"/>
    <x v="2"/>
    <x v="2"/>
  </r>
  <r>
    <x v="364"/>
    <x v="9"/>
    <x v="8"/>
    <n v="36"/>
    <n v="288"/>
    <x v="15"/>
    <x v="18"/>
    <x v="1"/>
    <x v="2"/>
    <x v="2"/>
    <x v="0"/>
    <x v="8"/>
    <n v="3"/>
    <x v="2"/>
    <x v="1"/>
  </r>
  <r>
    <x v="365"/>
    <x v="8"/>
    <x v="4"/>
    <n v="27"/>
    <n v="324"/>
    <x v="15"/>
    <x v="13"/>
    <x v="2"/>
    <x v="2"/>
    <x v="1"/>
    <x v="0"/>
    <x v="8"/>
    <n v="2"/>
    <x v="2"/>
    <x v="2"/>
  </r>
  <r>
    <x v="366"/>
    <x v="2"/>
    <x v="8"/>
    <n v="53.9"/>
    <n v="431.2"/>
    <x v="15"/>
    <x v="10"/>
    <x v="0"/>
    <x v="0"/>
    <x v="0"/>
    <x v="0"/>
    <x v="8"/>
    <n v="1"/>
    <x v="2"/>
    <x v="0"/>
  </r>
  <r>
    <x v="367"/>
    <x v="3"/>
    <x v="11"/>
    <n v="48.4"/>
    <n v="435.59999999999997"/>
    <x v="15"/>
    <x v="10"/>
    <x v="2"/>
    <x v="1"/>
    <x v="0"/>
    <x v="0"/>
    <x v="9"/>
    <n v="1"/>
    <x v="2"/>
    <x v="2"/>
  </r>
  <r>
    <x v="368"/>
    <x v="17"/>
    <x v="1"/>
    <n v="49.9"/>
    <n v="99.8"/>
    <x v="15"/>
    <x v="20"/>
    <x v="1"/>
    <x v="4"/>
    <x v="4"/>
    <x v="0"/>
    <x v="10"/>
    <n v="5"/>
    <x v="2"/>
    <x v="1"/>
  </r>
  <r>
    <x v="369"/>
    <x v="1"/>
    <x v="2"/>
    <n v="51.7"/>
    <n v="155.10000000000002"/>
    <x v="15"/>
    <x v="10"/>
    <x v="2"/>
    <x v="0"/>
    <x v="2"/>
    <x v="0"/>
    <x v="11"/>
    <n v="1"/>
    <x v="2"/>
    <x v="2"/>
  </r>
  <r>
    <x v="370"/>
    <x v="8"/>
    <x v="2"/>
    <n v="41.8"/>
    <n v="125.39999999999999"/>
    <x v="15"/>
    <x v="13"/>
    <x v="2"/>
    <x v="2"/>
    <x v="0"/>
    <x v="0"/>
    <x v="18"/>
    <n v="2"/>
    <x v="2"/>
    <x v="2"/>
  </r>
  <r>
    <x v="371"/>
    <x v="4"/>
    <x v="12"/>
    <n v="36.200000000000003"/>
    <n v="144.80000000000001"/>
    <x v="16"/>
    <x v="13"/>
    <x v="1"/>
    <x v="2"/>
    <x v="2"/>
    <x v="0"/>
    <x v="21"/>
    <n v="1"/>
    <x v="2"/>
    <x v="1"/>
  </r>
  <r>
    <x v="372"/>
    <x v="2"/>
    <x v="0"/>
    <n v="150.9"/>
    <n v="150.9"/>
    <x v="16"/>
    <x v="22"/>
    <x v="1"/>
    <x v="0"/>
    <x v="0"/>
    <x v="0"/>
    <x v="1"/>
    <n v="10"/>
    <x v="2"/>
    <x v="1"/>
  </r>
  <r>
    <x v="373"/>
    <x v="18"/>
    <x v="12"/>
    <n v="77.599999999999994"/>
    <n v="310.39999999999998"/>
    <x v="16"/>
    <x v="13"/>
    <x v="0"/>
    <x v="2"/>
    <x v="0"/>
    <x v="0"/>
    <x v="3"/>
    <n v="1"/>
    <x v="2"/>
    <x v="0"/>
  </r>
  <r>
    <x v="374"/>
    <x v="13"/>
    <x v="9"/>
    <n v="65.5"/>
    <n v="327.5"/>
    <x v="16"/>
    <x v="10"/>
    <x v="1"/>
    <x v="1"/>
    <x v="0"/>
    <x v="0"/>
    <x v="3"/>
    <n v="0"/>
    <x v="2"/>
    <x v="1"/>
  </r>
  <r>
    <x v="375"/>
    <x v="6"/>
    <x v="2"/>
    <n v="90.1"/>
    <n v="270.29999999999995"/>
    <x v="16"/>
    <x v="18"/>
    <x v="2"/>
    <x v="0"/>
    <x v="0"/>
    <x v="0"/>
    <x v="3"/>
    <n v="2"/>
    <x v="2"/>
    <x v="2"/>
  </r>
  <r>
    <x v="376"/>
    <x v="1"/>
    <x v="1"/>
    <n v="108.3"/>
    <n v="216.6"/>
    <x v="16"/>
    <x v="21"/>
    <x v="3"/>
    <x v="4"/>
    <x v="0"/>
    <x v="0"/>
    <x v="3"/>
    <n v="3"/>
    <x v="2"/>
    <x v="3"/>
  </r>
  <r>
    <x v="377"/>
    <x v="5"/>
    <x v="2"/>
    <n v="59.9"/>
    <n v="179.7"/>
    <x v="16"/>
    <x v="20"/>
    <x v="2"/>
    <x v="0"/>
    <x v="0"/>
    <x v="0"/>
    <x v="3"/>
    <n v="4"/>
    <x v="2"/>
    <x v="2"/>
  </r>
  <r>
    <x v="378"/>
    <x v="2"/>
    <x v="14"/>
    <n v="139"/>
    <n v="2363"/>
    <x v="16"/>
    <x v="18"/>
    <x v="2"/>
    <x v="1"/>
    <x v="4"/>
    <x v="0"/>
    <x v="3"/>
    <n v="2"/>
    <x v="2"/>
    <x v="2"/>
  </r>
  <r>
    <x v="379"/>
    <x v="6"/>
    <x v="2"/>
    <n v="87.3"/>
    <n v="261.89999999999998"/>
    <x v="16"/>
    <x v="13"/>
    <x v="2"/>
    <x v="0"/>
    <x v="0"/>
    <x v="0"/>
    <x v="3"/>
    <n v="1"/>
    <x v="2"/>
    <x v="2"/>
  </r>
  <r>
    <x v="380"/>
    <x v="11"/>
    <x v="12"/>
    <n v="42.3"/>
    <n v="169.2"/>
    <x v="16"/>
    <x v="10"/>
    <x v="1"/>
    <x v="0"/>
    <x v="0"/>
    <x v="0"/>
    <x v="3"/>
    <n v="0"/>
    <x v="2"/>
    <x v="1"/>
  </r>
  <r>
    <x v="381"/>
    <x v="14"/>
    <x v="8"/>
    <n v="103.6"/>
    <n v="828.8"/>
    <x v="16"/>
    <x v="13"/>
    <x v="3"/>
    <x v="0"/>
    <x v="1"/>
    <x v="0"/>
    <x v="3"/>
    <n v="1"/>
    <x v="2"/>
    <x v="3"/>
  </r>
  <r>
    <x v="382"/>
    <x v="6"/>
    <x v="1"/>
    <n v="90.9"/>
    <n v="181.8"/>
    <x v="16"/>
    <x v="13"/>
    <x v="1"/>
    <x v="1"/>
    <x v="0"/>
    <x v="0"/>
    <x v="6"/>
    <n v="1"/>
    <x v="2"/>
    <x v="1"/>
  </r>
  <r>
    <x v="383"/>
    <x v="9"/>
    <x v="27"/>
    <n v="100.9"/>
    <n v="1614.4"/>
    <x v="16"/>
    <x v="13"/>
    <x v="2"/>
    <x v="1"/>
    <x v="0"/>
    <x v="0"/>
    <x v="6"/>
    <n v="1"/>
    <x v="2"/>
    <x v="2"/>
  </r>
  <r>
    <x v="384"/>
    <x v="4"/>
    <x v="9"/>
    <n v="36"/>
    <n v="180"/>
    <x v="16"/>
    <x v="18"/>
    <x v="2"/>
    <x v="1"/>
    <x v="0"/>
    <x v="0"/>
    <x v="7"/>
    <n v="2"/>
    <x v="2"/>
    <x v="2"/>
  </r>
  <r>
    <x v="385"/>
    <x v="6"/>
    <x v="13"/>
    <n v="83.3"/>
    <n v="499.79999999999995"/>
    <x v="16"/>
    <x v="21"/>
    <x v="0"/>
    <x v="2"/>
    <x v="0"/>
    <x v="0"/>
    <x v="7"/>
    <n v="3"/>
    <x v="2"/>
    <x v="0"/>
  </r>
  <r>
    <x v="386"/>
    <x v="2"/>
    <x v="14"/>
    <n v="60.3"/>
    <n v="1025.0999999999999"/>
    <x v="16"/>
    <x v="13"/>
    <x v="1"/>
    <x v="2"/>
    <x v="1"/>
    <x v="0"/>
    <x v="7"/>
    <n v="1"/>
    <x v="2"/>
    <x v="1"/>
  </r>
  <r>
    <x v="387"/>
    <x v="2"/>
    <x v="13"/>
    <n v="120.3"/>
    <n v="721.8"/>
    <x v="16"/>
    <x v="13"/>
    <x v="1"/>
    <x v="2"/>
    <x v="0"/>
    <x v="0"/>
    <x v="8"/>
    <n v="1"/>
    <x v="2"/>
    <x v="1"/>
  </r>
  <r>
    <x v="388"/>
    <x v="4"/>
    <x v="7"/>
    <n v="34"/>
    <n v="340"/>
    <x v="16"/>
    <x v="20"/>
    <x v="2"/>
    <x v="2"/>
    <x v="0"/>
    <x v="0"/>
    <x v="8"/>
    <n v="4"/>
    <x v="2"/>
    <x v="2"/>
  </r>
  <r>
    <x v="389"/>
    <x v="10"/>
    <x v="9"/>
    <n v="42.6"/>
    <n v="213"/>
    <x v="16"/>
    <x v="21"/>
    <x v="1"/>
    <x v="1"/>
    <x v="0"/>
    <x v="0"/>
    <x v="8"/>
    <n v="3"/>
    <x v="2"/>
    <x v="1"/>
  </r>
  <r>
    <x v="390"/>
    <x v="5"/>
    <x v="28"/>
    <n v="47.4"/>
    <n v="948"/>
    <x v="16"/>
    <x v="10"/>
    <x v="2"/>
    <x v="2"/>
    <x v="1"/>
    <x v="0"/>
    <x v="17"/>
    <n v="0"/>
    <x v="2"/>
    <x v="2"/>
  </r>
  <r>
    <x v="391"/>
    <x v="2"/>
    <x v="0"/>
    <n v="74"/>
    <n v="74"/>
    <x v="17"/>
    <x v="18"/>
    <x v="1"/>
    <x v="1"/>
    <x v="0"/>
    <x v="0"/>
    <x v="11"/>
    <n v="1"/>
    <x v="2"/>
    <x v="1"/>
  </r>
  <r>
    <x v="392"/>
    <x v="2"/>
    <x v="9"/>
    <n v="60.4"/>
    <n v="302"/>
    <x v="17"/>
    <x v="20"/>
    <x v="2"/>
    <x v="1"/>
    <x v="4"/>
    <x v="0"/>
    <x v="18"/>
    <n v="3"/>
    <x v="2"/>
    <x v="2"/>
  </r>
  <r>
    <x v="393"/>
    <x v="12"/>
    <x v="1"/>
    <n v="69.3"/>
    <n v="138.6"/>
    <x v="17"/>
    <x v="20"/>
    <x v="1"/>
    <x v="1"/>
    <x v="1"/>
    <x v="0"/>
    <x v="13"/>
    <n v="3"/>
    <x v="2"/>
    <x v="1"/>
  </r>
  <r>
    <x v="394"/>
    <x v="5"/>
    <x v="9"/>
    <n v="81"/>
    <n v="405"/>
    <x v="17"/>
    <x v="25"/>
    <x v="1"/>
    <x v="3"/>
    <x v="0"/>
    <x v="0"/>
    <x v="21"/>
    <n v="6"/>
    <x v="2"/>
    <x v="1"/>
  </r>
  <r>
    <x v="395"/>
    <x v="15"/>
    <x v="2"/>
    <n v="41.5"/>
    <n v="124.5"/>
    <x v="17"/>
    <x v="21"/>
    <x v="3"/>
    <x v="1"/>
    <x v="0"/>
    <x v="0"/>
    <x v="21"/>
    <n v="2"/>
    <x v="2"/>
    <x v="3"/>
  </r>
  <r>
    <x v="396"/>
    <x v="18"/>
    <x v="1"/>
    <n v="69.7"/>
    <n v="139.4"/>
    <x v="17"/>
    <x v="23"/>
    <x v="1"/>
    <x v="1"/>
    <x v="0"/>
    <x v="0"/>
    <x v="21"/>
    <n v="5"/>
    <x v="2"/>
    <x v="1"/>
  </r>
  <r>
    <x v="397"/>
    <x v="2"/>
    <x v="9"/>
    <n v="83.6"/>
    <n v="418"/>
    <x v="17"/>
    <x v="13"/>
    <x v="2"/>
    <x v="4"/>
    <x v="0"/>
    <x v="0"/>
    <x v="1"/>
    <n v="0"/>
    <x v="2"/>
    <x v="2"/>
  </r>
  <r>
    <x v="398"/>
    <x v="8"/>
    <x v="3"/>
    <n v="21.5"/>
    <n v="150.5"/>
    <x v="17"/>
    <x v="21"/>
    <x v="1"/>
    <x v="1"/>
    <x v="4"/>
    <x v="0"/>
    <x v="34"/>
    <n v="2"/>
    <x v="2"/>
    <x v="1"/>
  </r>
  <r>
    <x v="399"/>
    <x v="8"/>
    <x v="8"/>
    <n v="28.6"/>
    <n v="228.8"/>
    <x v="17"/>
    <x v="18"/>
    <x v="1"/>
    <x v="0"/>
    <x v="0"/>
    <x v="0"/>
    <x v="3"/>
    <n v="1"/>
    <x v="2"/>
    <x v="1"/>
  </r>
  <r>
    <x v="400"/>
    <x v="8"/>
    <x v="13"/>
    <n v="18.8"/>
    <n v="112.80000000000001"/>
    <x v="17"/>
    <x v="20"/>
    <x v="1"/>
    <x v="3"/>
    <x v="2"/>
    <x v="0"/>
    <x v="3"/>
    <n v="3"/>
    <x v="2"/>
    <x v="1"/>
  </r>
  <r>
    <x v="401"/>
    <x v="10"/>
    <x v="12"/>
    <n v="35.1"/>
    <n v="140.4"/>
    <x v="17"/>
    <x v="13"/>
    <x v="2"/>
    <x v="1"/>
    <x v="1"/>
    <x v="0"/>
    <x v="3"/>
    <n v="0"/>
    <x v="2"/>
    <x v="2"/>
  </r>
  <r>
    <x v="402"/>
    <x v="0"/>
    <x v="1"/>
    <n v="12.7"/>
    <n v="25.4"/>
    <x v="17"/>
    <x v="21"/>
    <x v="2"/>
    <x v="1"/>
    <x v="2"/>
    <x v="0"/>
    <x v="3"/>
    <n v="2"/>
    <x v="2"/>
    <x v="2"/>
  </r>
  <r>
    <x v="403"/>
    <x v="8"/>
    <x v="9"/>
    <n v="27.4"/>
    <n v="137"/>
    <x v="17"/>
    <x v="21"/>
    <x v="3"/>
    <x v="0"/>
    <x v="0"/>
    <x v="0"/>
    <x v="3"/>
    <n v="2"/>
    <x v="2"/>
    <x v="3"/>
  </r>
  <r>
    <x v="404"/>
    <x v="10"/>
    <x v="1"/>
    <n v="61.3"/>
    <n v="122.6"/>
    <x v="17"/>
    <x v="18"/>
    <x v="2"/>
    <x v="1"/>
    <x v="0"/>
    <x v="0"/>
    <x v="6"/>
    <n v="1"/>
    <x v="2"/>
    <x v="2"/>
  </r>
  <r>
    <x v="405"/>
    <x v="8"/>
    <x v="1"/>
    <n v="64.7"/>
    <n v="129.4"/>
    <x v="17"/>
    <x v="21"/>
    <x v="2"/>
    <x v="3"/>
    <x v="2"/>
    <x v="0"/>
    <x v="6"/>
    <n v="2"/>
    <x v="2"/>
    <x v="2"/>
  </r>
  <r>
    <x v="406"/>
    <x v="7"/>
    <x v="12"/>
    <n v="91.4"/>
    <n v="365.6"/>
    <x v="17"/>
    <x v="21"/>
    <x v="2"/>
    <x v="0"/>
    <x v="0"/>
    <x v="0"/>
    <x v="8"/>
    <n v="2"/>
    <x v="2"/>
    <x v="2"/>
  </r>
  <r>
    <x v="407"/>
    <x v="0"/>
    <x v="1"/>
    <n v="33.1"/>
    <n v="66.2"/>
    <x v="18"/>
    <x v="21"/>
    <x v="1"/>
    <x v="0"/>
    <x v="2"/>
    <x v="0"/>
    <x v="8"/>
    <n v="1"/>
    <x v="3"/>
    <x v="1"/>
  </r>
  <r>
    <x v="408"/>
    <x v="3"/>
    <x v="1"/>
    <n v="105.6"/>
    <n v="211.2"/>
    <x v="18"/>
    <x v="21"/>
    <x v="1"/>
    <x v="2"/>
    <x v="1"/>
    <x v="0"/>
    <x v="8"/>
    <n v="1"/>
    <x v="3"/>
    <x v="1"/>
  </r>
  <r>
    <x v="409"/>
    <x v="10"/>
    <x v="2"/>
    <n v="46.4"/>
    <n v="139.19999999999999"/>
    <x v="18"/>
    <x v="21"/>
    <x v="1"/>
    <x v="2"/>
    <x v="0"/>
    <x v="0"/>
    <x v="9"/>
    <n v="1"/>
    <x v="3"/>
    <x v="1"/>
  </r>
  <r>
    <x v="410"/>
    <x v="9"/>
    <x v="21"/>
    <n v="35.299999999999997"/>
    <n v="494.19999999999993"/>
    <x v="18"/>
    <x v="24"/>
    <x v="2"/>
    <x v="4"/>
    <x v="1"/>
    <x v="0"/>
    <x v="11"/>
    <n v="3"/>
    <x v="3"/>
    <x v="2"/>
  </r>
  <r>
    <x v="411"/>
    <x v="0"/>
    <x v="1"/>
    <n v="16.100000000000001"/>
    <n v="32.200000000000003"/>
    <x v="18"/>
    <x v="20"/>
    <x v="1"/>
    <x v="3"/>
    <x v="2"/>
    <x v="0"/>
    <x v="32"/>
    <n v="2"/>
    <x v="3"/>
    <x v="1"/>
  </r>
  <r>
    <x v="412"/>
    <x v="4"/>
    <x v="1"/>
    <n v="27.9"/>
    <n v="55.8"/>
    <x v="18"/>
    <x v="24"/>
    <x v="1"/>
    <x v="0"/>
    <x v="0"/>
    <x v="0"/>
    <x v="13"/>
    <n v="3"/>
    <x v="3"/>
    <x v="1"/>
  </r>
  <r>
    <x v="413"/>
    <x v="8"/>
    <x v="0"/>
    <n v="47.1"/>
    <n v="47.1"/>
    <x v="18"/>
    <x v="22"/>
    <x v="2"/>
    <x v="1"/>
    <x v="0"/>
    <x v="0"/>
    <x v="2"/>
    <n v="8"/>
    <x v="3"/>
    <x v="2"/>
  </r>
  <r>
    <x v="414"/>
    <x v="6"/>
    <x v="1"/>
    <n v="85"/>
    <n v="170"/>
    <x v="18"/>
    <x v="24"/>
    <x v="0"/>
    <x v="2"/>
    <x v="2"/>
    <x v="0"/>
    <x v="22"/>
    <n v="3"/>
    <x v="3"/>
    <x v="0"/>
  </r>
  <r>
    <x v="415"/>
    <x v="18"/>
    <x v="1"/>
    <n v="89"/>
    <n v="178"/>
    <x v="18"/>
    <x v="20"/>
    <x v="2"/>
    <x v="0"/>
    <x v="0"/>
    <x v="0"/>
    <x v="3"/>
    <n v="2"/>
    <x v="3"/>
    <x v="2"/>
  </r>
  <r>
    <x v="416"/>
    <x v="16"/>
    <x v="2"/>
    <n v="36.6"/>
    <n v="109.80000000000001"/>
    <x v="18"/>
    <x v="21"/>
    <x v="3"/>
    <x v="3"/>
    <x v="2"/>
    <x v="0"/>
    <x v="3"/>
    <n v="1"/>
    <x v="3"/>
    <x v="3"/>
  </r>
  <r>
    <x v="417"/>
    <x v="6"/>
    <x v="3"/>
    <n v="43.5"/>
    <n v="304.5"/>
    <x v="18"/>
    <x v="21"/>
    <x v="1"/>
    <x v="1"/>
    <x v="2"/>
    <x v="0"/>
    <x v="3"/>
    <n v="1"/>
    <x v="3"/>
    <x v="1"/>
  </r>
  <r>
    <x v="418"/>
    <x v="9"/>
    <x v="10"/>
    <n v="30.5"/>
    <n v="579.5"/>
    <x v="18"/>
    <x v="18"/>
    <x v="2"/>
    <x v="3"/>
    <x v="0"/>
    <x v="0"/>
    <x v="3"/>
    <n v="0"/>
    <x v="3"/>
    <x v="2"/>
  </r>
  <r>
    <x v="419"/>
    <x v="1"/>
    <x v="1"/>
    <n v="107.7"/>
    <n v="215.4"/>
    <x v="18"/>
    <x v="23"/>
    <x v="1"/>
    <x v="3"/>
    <x v="4"/>
    <x v="0"/>
    <x v="3"/>
    <n v="4"/>
    <x v="3"/>
    <x v="1"/>
  </r>
  <r>
    <x v="420"/>
    <x v="17"/>
    <x v="18"/>
    <n v="57.1"/>
    <n v="1484.6000000000001"/>
    <x v="18"/>
    <x v="21"/>
    <x v="1"/>
    <x v="1"/>
    <x v="0"/>
    <x v="0"/>
    <x v="3"/>
    <n v="1"/>
    <x v="3"/>
    <x v="1"/>
  </r>
  <r>
    <x v="421"/>
    <x v="2"/>
    <x v="7"/>
    <n v="111.7"/>
    <n v="1117"/>
    <x v="18"/>
    <x v="21"/>
    <x v="2"/>
    <x v="4"/>
    <x v="2"/>
    <x v="0"/>
    <x v="3"/>
    <n v="1"/>
    <x v="3"/>
    <x v="2"/>
  </r>
  <r>
    <x v="422"/>
    <x v="18"/>
    <x v="3"/>
    <n v="44.3"/>
    <n v="310.09999999999997"/>
    <x v="18"/>
    <x v="24"/>
    <x v="1"/>
    <x v="3"/>
    <x v="2"/>
    <x v="0"/>
    <x v="3"/>
    <n v="3"/>
    <x v="3"/>
    <x v="1"/>
  </r>
  <r>
    <x v="423"/>
    <x v="2"/>
    <x v="8"/>
    <n v="95.8"/>
    <n v="766.4"/>
    <x v="18"/>
    <x v="17"/>
    <x v="3"/>
    <x v="0"/>
    <x v="0"/>
    <x v="0"/>
    <x v="3"/>
    <n v="6"/>
    <x v="3"/>
    <x v="3"/>
  </r>
  <r>
    <x v="424"/>
    <x v="10"/>
    <x v="3"/>
    <n v="22.6"/>
    <n v="158.20000000000002"/>
    <x v="18"/>
    <x v="24"/>
    <x v="2"/>
    <x v="3"/>
    <x v="1"/>
    <x v="0"/>
    <x v="3"/>
    <n v="3"/>
    <x v="3"/>
    <x v="2"/>
  </r>
  <r>
    <x v="425"/>
    <x v="8"/>
    <x v="8"/>
    <n v="25.6"/>
    <n v="204.8"/>
    <x v="18"/>
    <x v="20"/>
    <x v="2"/>
    <x v="4"/>
    <x v="0"/>
    <x v="0"/>
    <x v="3"/>
    <n v="2"/>
    <x v="3"/>
    <x v="2"/>
  </r>
  <r>
    <x v="426"/>
    <x v="6"/>
    <x v="27"/>
    <n v="54.3"/>
    <n v="868.8"/>
    <x v="18"/>
    <x v="24"/>
    <x v="2"/>
    <x v="4"/>
    <x v="0"/>
    <x v="0"/>
    <x v="3"/>
    <n v="3"/>
    <x v="3"/>
    <x v="2"/>
  </r>
  <r>
    <x v="427"/>
    <x v="18"/>
    <x v="15"/>
    <n v="51.3"/>
    <n v="666.9"/>
    <x v="18"/>
    <x v="20"/>
    <x v="1"/>
    <x v="0"/>
    <x v="2"/>
    <x v="0"/>
    <x v="3"/>
    <n v="2"/>
    <x v="3"/>
    <x v="1"/>
  </r>
  <r>
    <x v="428"/>
    <x v="0"/>
    <x v="8"/>
    <n v="25.6"/>
    <n v="204.8"/>
    <x v="18"/>
    <x v="21"/>
    <x v="2"/>
    <x v="1"/>
    <x v="1"/>
    <x v="0"/>
    <x v="3"/>
    <n v="1"/>
    <x v="3"/>
    <x v="2"/>
  </r>
  <r>
    <x v="429"/>
    <x v="0"/>
    <x v="1"/>
    <n v="15.6"/>
    <n v="31.2"/>
    <x v="18"/>
    <x v="21"/>
    <x v="2"/>
    <x v="2"/>
    <x v="2"/>
    <x v="0"/>
    <x v="3"/>
    <n v="1"/>
    <x v="3"/>
    <x v="2"/>
  </r>
  <r>
    <x v="430"/>
    <x v="8"/>
    <x v="2"/>
    <n v="30.3"/>
    <n v="90.9"/>
    <x v="18"/>
    <x v="23"/>
    <x v="2"/>
    <x v="0"/>
    <x v="1"/>
    <x v="0"/>
    <x v="3"/>
    <n v="4"/>
    <x v="3"/>
    <x v="2"/>
  </r>
  <r>
    <x v="431"/>
    <x v="12"/>
    <x v="1"/>
    <n v="30.3"/>
    <n v="60.6"/>
    <x v="18"/>
    <x v="25"/>
    <x v="2"/>
    <x v="0"/>
    <x v="2"/>
    <x v="0"/>
    <x v="37"/>
    <n v="5"/>
    <x v="3"/>
    <x v="2"/>
  </r>
  <r>
    <x v="432"/>
    <x v="10"/>
    <x v="2"/>
    <n v="53"/>
    <n v="159"/>
    <x v="18"/>
    <x v="19"/>
    <x v="2"/>
    <x v="2"/>
    <x v="0"/>
    <x v="0"/>
    <x v="24"/>
    <n v="7"/>
    <x v="3"/>
    <x v="2"/>
  </r>
  <r>
    <x v="433"/>
    <x v="5"/>
    <x v="16"/>
    <n v="59.9"/>
    <n v="1078.2"/>
    <x v="18"/>
    <x v="24"/>
    <x v="1"/>
    <x v="2"/>
    <x v="4"/>
    <x v="0"/>
    <x v="25"/>
    <n v="3"/>
    <x v="3"/>
    <x v="1"/>
  </r>
  <r>
    <x v="434"/>
    <x v="9"/>
    <x v="1"/>
    <n v="45.7"/>
    <n v="91.4"/>
    <x v="18"/>
    <x v="21"/>
    <x v="2"/>
    <x v="1"/>
    <x v="2"/>
    <x v="0"/>
    <x v="6"/>
    <n v="1"/>
    <x v="3"/>
    <x v="2"/>
  </r>
  <r>
    <x v="435"/>
    <x v="8"/>
    <x v="12"/>
    <n v="46.1"/>
    <n v="184.4"/>
    <x v="18"/>
    <x v="21"/>
    <x v="1"/>
    <x v="0"/>
    <x v="0"/>
    <x v="0"/>
    <x v="6"/>
    <n v="1"/>
    <x v="3"/>
    <x v="1"/>
  </r>
  <r>
    <x v="436"/>
    <x v="8"/>
    <x v="2"/>
    <n v="17.5"/>
    <n v="52.5"/>
    <x v="18"/>
    <x v="21"/>
    <x v="2"/>
    <x v="0"/>
    <x v="2"/>
    <x v="0"/>
    <x v="8"/>
    <n v="1"/>
    <x v="3"/>
    <x v="2"/>
  </r>
  <r>
    <x v="437"/>
    <x v="10"/>
    <x v="2"/>
    <n v="36.5"/>
    <n v="109.5"/>
    <x v="18"/>
    <x v="26"/>
    <x v="1"/>
    <x v="2"/>
    <x v="0"/>
    <x v="0"/>
    <x v="8"/>
    <n v="11"/>
    <x v="3"/>
    <x v="1"/>
  </r>
  <r>
    <x v="438"/>
    <x v="8"/>
    <x v="1"/>
    <n v="47.5"/>
    <n v="95"/>
    <x v="19"/>
    <x v="24"/>
    <x v="2"/>
    <x v="1"/>
    <x v="0"/>
    <x v="0"/>
    <x v="8"/>
    <n v="2"/>
    <x v="3"/>
    <x v="2"/>
  </r>
  <r>
    <x v="439"/>
    <x v="6"/>
    <x v="9"/>
    <n v="45.6"/>
    <n v="228"/>
    <x v="19"/>
    <x v="24"/>
    <x v="2"/>
    <x v="0"/>
    <x v="2"/>
    <x v="0"/>
    <x v="8"/>
    <n v="2"/>
    <x v="3"/>
    <x v="2"/>
  </r>
  <r>
    <x v="440"/>
    <x v="9"/>
    <x v="1"/>
    <n v="50.5"/>
    <n v="101"/>
    <x v="19"/>
    <x v="24"/>
    <x v="1"/>
    <x v="0"/>
    <x v="1"/>
    <x v="0"/>
    <x v="17"/>
    <n v="2"/>
    <x v="3"/>
    <x v="1"/>
  </r>
  <r>
    <x v="441"/>
    <x v="2"/>
    <x v="7"/>
    <n v="99.8"/>
    <n v="998"/>
    <x v="19"/>
    <x v="23"/>
    <x v="2"/>
    <x v="2"/>
    <x v="1"/>
    <x v="0"/>
    <x v="17"/>
    <n v="3"/>
    <x v="3"/>
    <x v="2"/>
  </r>
  <r>
    <x v="442"/>
    <x v="8"/>
    <x v="20"/>
    <n v="19.2"/>
    <n v="288"/>
    <x v="19"/>
    <x v="24"/>
    <x v="3"/>
    <x v="4"/>
    <x v="1"/>
    <x v="0"/>
    <x v="26"/>
    <n v="2"/>
    <x v="3"/>
    <x v="3"/>
  </r>
  <r>
    <x v="443"/>
    <x v="17"/>
    <x v="2"/>
    <n v="22.6"/>
    <n v="67.800000000000011"/>
    <x v="19"/>
    <x v="20"/>
    <x v="1"/>
    <x v="1"/>
    <x v="0"/>
    <x v="0"/>
    <x v="11"/>
    <n v="1"/>
    <x v="3"/>
    <x v="1"/>
  </r>
  <r>
    <x v="444"/>
    <x v="1"/>
    <x v="20"/>
    <n v="126.9"/>
    <n v="1903.5"/>
    <x v="19"/>
    <x v="24"/>
    <x v="2"/>
    <x v="0"/>
    <x v="2"/>
    <x v="0"/>
    <x v="11"/>
    <n v="2"/>
    <x v="3"/>
    <x v="2"/>
  </r>
  <r>
    <x v="445"/>
    <x v="2"/>
    <x v="1"/>
    <n v="100.3"/>
    <n v="200.6"/>
    <x v="19"/>
    <x v="20"/>
    <x v="2"/>
    <x v="0"/>
    <x v="1"/>
    <x v="0"/>
    <x v="11"/>
    <n v="1"/>
    <x v="3"/>
    <x v="2"/>
  </r>
  <r>
    <x v="446"/>
    <x v="4"/>
    <x v="16"/>
    <n v="24.6"/>
    <n v="442.8"/>
    <x v="19"/>
    <x v="20"/>
    <x v="2"/>
    <x v="4"/>
    <x v="0"/>
    <x v="0"/>
    <x v="13"/>
    <n v="1"/>
    <x v="3"/>
    <x v="2"/>
  </r>
  <r>
    <x v="447"/>
    <x v="6"/>
    <x v="1"/>
    <n v="47.3"/>
    <n v="94.6"/>
    <x v="19"/>
    <x v="20"/>
    <x v="1"/>
    <x v="1"/>
    <x v="2"/>
    <x v="0"/>
    <x v="13"/>
    <n v="1"/>
    <x v="3"/>
    <x v="1"/>
  </r>
  <r>
    <x v="448"/>
    <x v="6"/>
    <x v="3"/>
    <n v="40.799999999999997"/>
    <n v="285.59999999999997"/>
    <x v="19"/>
    <x v="23"/>
    <x v="2"/>
    <x v="2"/>
    <x v="2"/>
    <x v="0"/>
    <x v="21"/>
    <n v="3"/>
    <x v="3"/>
    <x v="2"/>
  </r>
  <r>
    <x v="449"/>
    <x v="8"/>
    <x v="8"/>
    <n v="49.2"/>
    <n v="393.6"/>
    <x v="19"/>
    <x v="24"/>
    <x v="2"/>
    <x v="0"/>
    <x v="0"/>
    <x v="0"/>
    <x v="1"/>
    <n v="2"/>
    <x v="3"/>
    <x v="2"/>
  </r>
  <r>
    <x v="450"/>
    <x v="8"/>
    <x v="0"/>
    <n v="28.5"/>
    <n v="28.5"/>
    <x v="19"/>
    <x v="24"/>
    <x v="0"/>
    <x v="2"/>
    <x v="1"/>
    <x v="0"/>
    <x v="3"/>
    <n v="2"/>
    <x v="3"/>
    <x v="0"/>
  </r>
  <r>
    <x v="451"/>
    <x v="18"/>
    <x v="1"/>
    <n v="36.799999999999997"/>
    <n v="73.599999999999994"/>
    <x v="19"/>
    <x v="19"/>
    <x v="2"/>
    <x v="0"/>
    <x v="2"/>
    <x v="0"/>
    <x v="3"/>
    <n v="6"/>
    <x v="3"/>
    <x v="2"/>
  </r>
  <r>
    <x v="452"/>
    <x v="7"/>
    <x v="2"/>
    <n v="33.5"/>
    <n v="100.5"/>
    <x v="19"/>
    <x v="20"/>
    <x v="2"/>
    <x v="0"/>
    <x v="1"/>
    <x v="0"/>
    <x v="3"/>
    <n v="1"/>
    <x v="3"/>
    <x v="2"/>
  </r>
  <r>
    <x v="453"/>
    <x v="6"/>
    <x v="13"/>
    <n v="62.5"/>
    <n v="375"/>
    <x v="19"/>
    <x v="24"/>
    <x v="2"/>
    <x v="0"/>
    <x v="0"/>
    <x v="0"/>
    <x v="3"/>
    <n v="2"/>
    <x v="3"/>
    <x v="2"/>
  </r>
  <r>
    <x v="454"/>
    <x v="8"/>
    <x v="29"/>
    <n v="47.9"/>
    <n v="1916"/>
    <x v="19"/>
    <x v="20"/>
    <x v="2"/>
    <x v="3"/>
    <x v="0"/>
    <x v="0"/>
    <x v="3"/>
    <n v="1"/>
    <x v="3"/>
    <x v="2"/>
  </r>
  <r>
    <x v="455"/>
    <x v="6"/>
    <x v="13"/>
    <n v="92.9"/>
    <n v="557.40000000000009"/>
    <x v="19"/>
    <x v="27"/>
    <x v="2"/>
    <x v="0"/>
    <x v="4"/>
    <x v="0"/>
    <x v="3"/>
    <n v="11"/>
    <x v="3"/>
    <x v="2"/>
  </r>
  <r>
    <x v="456"/>
    <x v="12"/>
    <x v="2"/>
    <n v="44.1"/>
    <n v="132.30000000000001"/>
    <x v="19"/>
    <x v="21"/>
    <x v="2"/>
    <x v="1"/>
    <x v="1"/>
    <x v="0"/>
    <x v="43"/>
    <n v="0"/>
    <x v="3"/>
    <x v="2"/>
  </r>
  <r>
    <x v="457"/>
    <x v="0"/>
    <x v="0"/>
    <n v="11.4"/>
    <n v="11.4"/>
    <x v="20"/>
    <x v="23"/>
    <x v="2"/>
    <x v="2"/>
    <x v="0"/>
    <x v="0"/>
    <x v="5"/>
    <n v="2"/>
    <x v="3"/>
    <x v="2"/>
  </r>
  <r>
    <x v="458"/>
    <x v="6"/>
    <x v="0"/>
    <n v="83.7"/>
    <n v="83.7"/>
    <x v="20"/>
    <x v="23"/>
    <x v="2"/>
    <x v="0"/>
    <x v="2"/>
    <x v="0"/>
    <x v="6"/>
    <n v="2"/>
    <x v="3"/>
    <x v="2"/>
  </r>
  <r>
    <x v="459"/>
    <x v="10"/>
    <x v="1"/>
    <n v="23.2"/>
    <n v="46.4"/>
    <x v="20"/>
    <x v="24"/>
    <x v="1"/>
    <x v="2"/>
    <x v="0"/>
    <x v="0"/>
    <x v="8"/>
    <n v="1"/>
    <x v="3"/>
    <x v="1"/>
  </r>
  <r>
    <x v="460"/>
    <x v="2"/>
    <x v="0"/>
    <n v="162.1"/>
    <n v="162.1"/>
    <x v="20"/>
    <x v="25"/>
    <x v="2"/>
    <x v="0"/>
    <x v="2"/>
    <x v="0"/>
    <x v="9"/>
    <n v="3"/>
    <x v="3"/>
    <x v="2"/>
  </r>
  <r>
    <x v="461"/>
    <x v="6"/>
    <x v="12"/>
    <n v="49.2"/>
    <n v="196.8"/>
    <x v="20"/>
    <x v="17"/>
    <x v="1"/>
    <x v="1"/>
    <x v="0"/>
    <x v="0"/>
    <x v="9"/>
    <n v="4"/>
    <x v="3"/>
    <x v="1"/>
  </r>
  <r>
    <x v="462"/>
    <x v="1"/>
    <x v="1"/>
    <n v="61"/>
    <n v="122"/>
    <x v="20"/>
    <x v="24"/>
    <x v="1"/>
    <x v="3"/>
    <x v="0"/>
    <x v="0"/>
    <x v="10"/>
    <n v="1"/>
    <x v="3"/>
    <x v="1"/>
  </r>
  <r>
    <x v="463"/>
    <x v="2"/>
    <x v="7"/>
    <n v="53.1"/>
    <n v="531"/>
    <x v="20"/>
    <x v="23"/>
    <x v="1"/>
    <x v="0"/>
    <x v="0"/>
    <x v="0"/>
    <x v="11"/>
    <n v="2"/>
    <x v="3"/>
    <x v="1"/>
  </r>
  <r>
    <x v="464"/>
    <x v="4"/>
    <x v="1"/>
    <n v="22.4"/>
    <n v="44.8"/>
    <x v="20"/>
    <x v="23"/>
    <x v="0"/>
    <x v="1"/>
    <x v="2"/>
    <x v="0"/>
    <x v="13"/>
    <n v="2"/>
    <x v="3"/>
    <x v="0"/>
  </r>
  <r>
    <x v="465"/>
    <x v="1"/>
    <x v="9"/>
    <n v="75.3"/>
    <n v="376.5"/>
    <x v="20"/>
    <x v="24"/>
    <x v="1"/>
    <x v="0"/>
    <x v="0"/>
    <x v="0"/>
    <x v="21"/>
    <n v="1"/>
    <x v="3"/>
    <x v="1"/>
  </r>
  <r>
    <x v="466"/>
    <x v="6"/>
    <x v="0"/>
    <n v="48.5"/>
    <n v="48.5"/>
    <x v="20"/>
    <x v="24"/>
    <x v="2"/>
    <x v="0"/>
    <x v="1"/>
    <x v="0"/>
    <x v="21"/>
    <n v="1"/>
    <x v="3"/>
    <x v="2"/>
  </r>
  <r>
    <x v="467"/>
    <x v="6"/>
    <x v="0"/>
    <n v="42.6"/>
    <n v="42.6"/>
    <x v="20"/>
    <x v="17"/>
    <x v="2"/>
    <x v="3"/>
    <x v="0"/>
    <x v="0"/>
    <x v="1"/>
    <n v="4"/>
    <x v="3"/>
    <x v="2"/>
  </r>
  <r>
    <x v="468"/>
    <x v="5"/>
    <x v="9"/>
    <n v="49"/>
    <n v="245"/>
    <x v="20"/>
    <x v="24"/>
    <x v="1"/>
    <x v="0"/>
    <x v="0"/>
    <x v="0"/>
    <x v="22"/>
    <n v="1"/>
    <x v="3"/>
    <x v="1"/>
  </r>
  <r>
    <x v="469"/>
    <x v="8"/>
    <x v="2"/>
    <n v="31.3"/>
    <n v="93.9"/>
    <x v="20"/>
    <x v="24"/>
    <x v="1"/>
    <x v="2"/>
    <x v="1"/>
    <x v="0"/>
    <x v="3"/>
    <n v="1"/>
    <x v="3"/>
    <x v="1"/>
  </r>
  <r>
    <x v="470"/>
    <x v="2"/>
    <x v="1"/>
    <n v="85.4"/>
    <n v="170.8"/>
    <x v="20"/>
    <x v="24"/>
    <x v="2"/>
    <x v="2"/>
    <x v="0"/>
    <x v="0"/>
    <x v="3"/>
    <n v="1"/>
    <x v="3"/>
    <x v="2"/>
  </r>
  <r>
    <x v="471"/>
    <x v="8"/>
    <x v="12"/>
    <n v="40"/>
    <n v="160"/>
    <x v="20"/>
    <x v="24"/>
    <x v="3"/>
    <x v="0"/>
    <x v="2"/>
    <x v="0"/>
    <x v="3"/>
    <n v="1"/>
    <x v="3"/>
    <x v="3"/>
  </r>
  <r>
    <x v="472"/>
    <x v="5"/>
    <x v="1"/>
    <n v="38.5"/>
    <n v="77"/>
    <x v="20"/>
    <x v="25"/>
    <x v="1"/>
    <x v="1"/>
    <x v="2"/>
    <x v="0"/>
    <x v="3"/>
    <n v="3"/>
    <x v="3"/>
    <x v="1"/>
  </r>
  <r>
    <x v="473"/>
    <x v="2"/>
    <x v="1"/>
    <n v="57.8"/>
    <n v="115.6"/>
    <x v="20"/>
    <x v="24"/>
    <x v="0"/>
    <x v="0"/>
    <x v="0"/>
    <x v="0"/>
    <x v="3"/>
    <n v="1"/>
    <x v="3"/>
    <x v="0"/>
  </r>
  <r>
    <x v="474"/>
    <x v="8"/>
    <x v="0"/>
    <n v="19.2"/>
    <n v="19.2"/>
    <x v="20"/>
    <x v="24"/>
    <x v="2"/>
    <x v="0"/>
    <x v="4"/>
    <x v="0"/>
    <x v="3"/>
    <n v="1"/>
    <x v="3"/>
    <x v="2"/>
  </r>
  <r>
    <x v="475"/>
    <x v="6"/>
    <x v="13"/>
    <n v="114.8"/>
    <n v="688.8"/>
    <x v="20"/>
    <x v="25"/>
    <x v="1"/>
    <x v="1"/>
    <x v="1"/>
    <x v="0"/>
    <x v="3"/>
    <n v="3"/>
    <x v="3"/>
    <x v="1"/>
  </r>
  <r>
    <x v="476"/>
    <x v="10"/>
    <x v="3"/>
    <n v="48.4"/>
    <n v="338.8"/>
    <x v="20"/>
    <x v="25"/>
    <x v="2"/>
    <x v="3"/>
    <x v="1"/>
    <x v="0"/>
    <x v="3"/>
    <n v="3"/>
    <x v="3"/>
    <x v="2"/>
  </r>
  <r>
    <x v="477"/>
    <x v="9"/>
    <x v="9"/>
    <n v="73.2"/>
    <n v="366"/>
    <x v="20"/>
    <x v="24"/>
    <x v="2"/>
    <x v="1"/>
    <x v="4"/>
    <x v="0"/>
    <x v="3"/>
    <n v="1"/>
    <x v="3"/>
    <x v="2"/>
  </r>
  <r>
    <x v="478"/>
    <x v="15"/>
    <x v="1"/>
    <n v="48.6"/>
    <n v="97.2"/>
    <x v="20"/>
    <x v="17"/>
    <x v="2"/>
    <x v="3"/>
    <x v="0"/>
    <x v="0"/>
    <x v="3"/>
    <n v="4"/>
    <x v="3"/>
    <x v="2"/>
  </r>
  <r>
    <x v="479"/>
    <x v="0"/>
    <x v="13"/>
    <n v="48.7"/>
    <n v="292.20000000000005"/>
    <x v="20"/>
    <x v="24"/>
    <x v="1"/>
    <x v="0"/>
    <x v="0"/>
    <x v="0"/>
    <x v="3"/>
    <n v="1"/>
    <x v="3"/>
    <x v="1"/>
  </r>
  <r>
    <x v="480"/>
    <x v="4"/>
    <x v="1"/>
    <n v="32.200000000000003"/>
    <n v="64.400000000000006"/>
    <x v="20"/>
    <x v="25"/>
    <x v="1"/>
    <x v="2"/>
    <x v="2"/>
    <x v="0"/>
    <x v="3"/>
    <n v="3"/>
    <x v="3"/>
    <x v="1"/>
  </r>
  <r>
    <x v="481"/>
    <x v="15"/>
    <x v="8"/>
    <n v="25.8"/>
    <n v="206.4"/>
    <x v="20"/>
    <x v="24"/>
    <x v="1"/>
    <x v="0"/>
    <x v="0"/>
    <x v="0"/>
    <x v="37"/>
    <n v="1"/>
    <x v="3"/>
    <x v="1"/>
  </r>
  <r>
    <x v="482"/>
    <x v="6"/>
    <x v="1"/>
    <n v="94.8"/>
    <n v="189.6"/>
    <x v="21"/>
    <x v="17"/>
    <x v="2"/>
    <x v="1"/>
    <x v="1"/>
    <x v="0"/>
    <x v="25"/>
    <n v="3"/>
    <x v="3"/>
    <x v="2"/>
  </r>
  <r>
    <x v="483"/>
    <x v="15"/>
    <x v="30"/>
    <n v="56.8"/>
    <n v="1420"/>
    <x v="21"/>
    <x v="17"/>
    <x v="1"/>
    <x v="0"/>
    <x v="0"/>
    <x v="0"/>
    <x v="25"/>
    <n v="3"/>
    <x v="3"/>
    <x v="1"/>
  </r>
  <r>
    <x v="484"/>
    <x v="8"/>
    <x v="27"/>
    <n v="18.3"/>
    <n v="292.8"/>
    <x v="21"/>
    <x v="28"/>
    <x v="2"/>
    <x v="2"/>
    <x v="2"/>
    <x v="0"/>
    <x v="23"/>
    <n v="7"/>
    <x v="3"/>
    <x v="2"/>
  </r>
  <r>
    <x v="485"/>
    <x v="0"/>
    <x v="2"/>
    <n v="16.8"/>
    <n v="50.400000000000006"/>
    <x v="21"/>
    <x v="22"/>
    <x v="2"/>
    <x v="2"/>
    <x v="2"/>
    <x v="0"/>
    <x v="8"/>
    <n v="5"/>
    <x v="3"/>
    <x v="2"/>
  </r>
  <r>
    <x v="486"/>
    <x v="5"/>
    <x v="5"/>
    <n v="35.799999999999997"/>
    <n v="393.79999999999995"/>
    <x v="21"/>
    <x v="23"/>
    <x v="1"/>
    <x v="1"/>
    <x v="0"/>
    <x v="0"/>
    <x v="17"/>
    <n v="1"/>
    <x v="3"/>
    <x v="1"/>
  </r>
  <r>
    <x v="487"/>
    <x v="18"/>
    <x v="0"/>
    <n v="64.900000000000006"/>
    <n v="64.900000000000006"/>
    <x v="21"/>
    <x v="23"/>
    <x v="1"/>
    <x v="0"/>
    <x v="1"/>
    <x v="0"/>
    <x v="17"/>
    <n v="1"/>
    <x v="3"/>
    <x v="1"/>
  </r>
  <r>
    <x v="488"/>
    <x v="18"/>
    <x v="0"/>
    <n v="28.5"/>
    <n v="28.5"/>
    <x v="21"/>
    <x v="25"/>
    <x v="0"/>
    <x v="1"/>
    <x v="0"/>
    <x v="0"/>
    <x v="9"/>
    <n v="2"/>
    <x v="3"/>
    <x v="0"/>
  </r>
  <r>
    <x v="489"/>
    <x v="18"/>
    <x v="1"/>
    <n v="103.5"/>
    <n v="207"/>
    <x v="21"/>
    <x v="25"/>
    <x v="2"/>
    <x v="1"/>
    <x v="0"/>
    <x v="0"/>
    <x v="10"/>
    <n v="2"/>
    <x v="3"/>
    <x v="2"/>
  </r>
  <r>
    <x v="490"/>
    <x v="4"/>
    <x v="1"/>
    <n v="41.2"/>
    <n v="82.4"/>
    <x v="21"/>
    <x v="23"/>
    <x v="2"/>
    <x v="1"/>
    <x v="0"/>
    <x v="0"/>
    <x v="10"/>
    <n v="1"/>
    <x v="3"/>
    <x v="2"/>
  </r>
  <r>
    <x v="491"/>
    <x v="9"/>
    <x v="0"/>
    <n v="37.799999999999997"/>
    <n v="37.799999999999997"/>
    <x v="21"/>
    <x v="25"/>
    <x v="2"/>
    <x v="3"/>
    <x v="3"/>
    <x v="0"/>
    <x v="11"/>
    <n v="2"/>
    <x v="3"/>
    <x v="2"/>
  </r>
  <r>
    <x v="492"/>
    <x v="8"/>
    <x v="1"/>
    <n v="42.6"/>
    <n v="85.2"/>
    <x v="21"/>
    <x v="25"/>
    <x v="2"/>
    <x v="4"/>
    <x v="0"/>
    <x v="0"/>
    <x v="11"/>
    <n v="2"/>
    <x v="3"/>
    <x v="2"/>
  </r>
  <r>
    <x v="493"/>
    <x v="8"/>
    <x v="7"/>
    <n v="15.2"/>
    <n v="152"/>
    <x v="21"/>
    <x v="25"/>
    <x v="2"/>
    <x v="2"/>
    <x v="0"/>
    <x v="0"/>
    <x v="11"/>
    <n v="2"/>
    <x v="3"/>
    <x v="2"/>
  </r>
  <r>
    <x v="494"/>
    <x v="7"/>
    <x v="12"/>
    <n v="83.4"/>
    <n v="333.6"/>
    <x v="21"/>
    <x v="23"/>
    <x v="2"/>
    <x v="2"/>
    <x v="1"/>
    <x v="0"/>
    <x v="18"/>
    <n v="1"/>
    <x v="3"/>
    <x v="2"/>
  </r>
  <r>
    <x v="495"/>
    <x v="19"/>
    <x v="1"/>
    <n v="27.7"/>
    <n v="55.4"/>
    <x v="21"/>
    <x v="23"/>
    <x v="2"/>
    <x v="0"/>
    <x v="1"/>
    <x v="0"/>
    <x v="13"/>
    <n v="1"/>
    <x v="3"/>
    <x v="2"/>
  </r>
  <r>
    <x v="496"/>
    <x v="10"/>
    <x v="4"/>
    <n v="20.8"/>
    <n v="249.60000000000002"/>
    <x v="21"/>
    <x v="23"/>
    <x v="1"/>
    <x v="3"/>
    <x v="0"/>
    <x v="0"/>
    <x v="13"/>
    <n v="1"/>
    <x v="3"/>
    <x v="1"/>
  </r>
  <r>
    <x v="497"/>
    <x v="11"/>
    <x v="1"/>
    <n v="72.7"/>
    <n v="145.4"/>
    <x v="21"/>
    <x v="19"/>
    <x v="2"/>
    <x v="4"/>
    <x v="2"/>
    <x v="0"/>
    <x v="44"/>
    <n v="4"/>
    <x v="3"/>
    <x v="2"/>
  </r>
  <r>
    <x v="498"/>
    <x v="10"/>
    <x v="12"/>
    <n v="38.6"/>
    <n v="154.4"/>
    <x v="21"/>
    <x v="23"/>
    <x v="1"/>
    <x v="0"/>
    <x v="2"/>
    <x v="0"/>
    <x v="22"/>
    <n v="1"/>
    <x v="3"/>
    <x v="1"/>
  </r>
  <r>
    <x v="499"/>
    <x v="8"/>
    <x v="3"/>
    <n v="33.1"/>
    <n v="231.70000000000002"/>
    <x v="21"/>
    <x v="23"/>
    <x v="3"/>
    <x v="4"/>
    <x v="3"/>
    <x v="0"/>
    <x v="3"/>
    <n v="1"/>
    <x v="3"/>
    <x v="3"/>
  </r>
  <r>
    <x v="500"/>
    <x v="10"/>
    <x v="1"/>
    <n v="30.5"/>
    <n v="61"/>
    <x v="21"/>
    <x v="24"/>
    <x v="0"/>
    <x v="1"/>
    <x v="1"/>
    <x v="0"/>
    <x v="3"/>
    <n v="0"/>
    <x v="3"/>
    <x v="0"/>
  </r>
  <r>
    <x v="501"/>
    <x v="9"/>
    <x v="1"/>
    <n v="69.599999999999994"/>
    <n v="139.19999999999999"/>
    <x v="21"/>
    <x v="23"/>
    <x v="1"/>
    <x v="0"/>
    <x v="1"/>
    <x v="0"/>
    <x v="3"/>
    <n v="1"/>
    <x v="3"/>
    <x v="1"/>
  </r>
  <r>
    <x v="502"/>
    <x v="11"/>
    <x v="0"/>
    <n v="42.4"/>
    <n v="42.4"/>
    <x v="21"/>
    <x v="19"/>
    <x v="2"/>
    <x v="1"/>
    <x v="0"/>
    <x v="0"/>
    <x v="3"/>
    <n v="4"/>
    <x v="3"/>
    <x v="2"/>
  </r>
  <r>
    <x v="503"/>
    <x v="17"/>
    <x v="0"/>
    <n v="32.200000000000003"/>
    <n v="32.200000000000003"/>
    <x v="21"/>
    <x v="17"/>
    <x v="2"/>
    <x v="2"/>
    <x v="1"/>
    <x v="0"/>
    <x v="3"/>
    <n v="3"/>
    <x v="3"/>
    <x v="2"/>
  </r>
  <r>
    <x v="504"/>
    <x v="6"/>
    <x v="1"/>
    <n v="41.5"/>
    <n v="83"/>
    <x v="21"/>
    <x v="17"/>
    <x v="2"/>
    <x v="0"/>
    <x v="2"/>
    <x v="0"/>
    <x v="3"/>
    <n v="3"/>
    <x v="3"/>
    <x v="2"/>
  </r>
  <r>
    <x v="505"/>
    <x v="16"/>
    <x v="11"/>
    <n v="58.9"/>
    <n v="530.1"/>
    <x v="21"/>
    <x v="19"/>
    <x v="2"/>
    <x v="3"/>
    <x v="0"/>
    <x v="0"/>
    <x v="3"/>
    <n v="4"/>
    <x v="3"/>
    <x v="2"/>
  </r>
  <r>
    <x v="506"/>
    <x v="2"/>
    <x v="0"/>
    <n v="57.1"/>
    <n v="57.1"/>
    <x v="21"/>
    <x v="17"/>
    <x v="2"/>
    <x v="1"/>
    <x v="0"/>
    <x v="0"/>
    <x v="3"/>
    <n v="3"/>
    <x v="3"/>
    <x v="2"/>
  </r>
  <r>
    <x v="507"/>
    <x v="6"/>
    <x v="0"/>
    <n v="57.2"/>
    <n v="57.2"/>
    <x v="21"/>
    <x v="25"/>
    <x v="1"/>
    <x v="1"/>
    <x v="0"/>
    <x v="0"/>
    <x v="3"/>
    <n v="2"/>
    <x v="3"/>
    <x v="1"/>
  </r>
  <r>
    <x v="508"/>
    <x v="8"/>
    <x v="1"/>
    <n v="35.1"/>
    <n v="70.2"/>
    <x v="21"/>
    <x v="23"/>
    <x v="1"/>
    <x v="1"/>
    <x v="0"/>
    <x v="0"/>
    <x v="6"/>
    <n v="1"/>
    <x v="3"/>
    <x v="1"/>
  </r>
  <r>
    <x v="509"/>
    <x v="1"/>
    <x v="0"/>
    <n v="52.1"/>
    <n v="52.1"/>
    <x v="21"/>
    <x v="25"/>
    <x v="2"/>
    <x v="4"/>
    <x v="1"/>
    <x v="0"/>
    <x v="8"/>
    <n v="2"/>
    <x v="3"/>
    <x v="2"/>
  </r>
  <r>
    <x v="510"/>
    <x v="13"/>
    <x v="2"/>
    <n v="59.8"/>
    <n v="179.39999999999998"/>
    <x v="21"/>
    <x v="25"/>
    <x v="2"/>
    <x v="4"/>
    <x v="1"/>
    <x v="0"/>
    <x v="8"/>
    <n v="2"/>
    <x v="3"/>
    <x v="2"/>
  </r>
  <r>
    <x v="511"/>
    <x v="3"/>
    <x v="12"/>
    <n v="83.3"/>
    <n v="333.2"/>
    <x v="21"/>
    <x v="24"/>
    <x v="0"/>
    <x v="2"/>
    <x v="0"/>
    <x v="0"/>
    <x v="8"/>
    <n v="0"/>
    <x v="3"/>
    <x v="0"/>
  </r>
  <r>
    <x v="512"/>
    <x v="15"/>
    <x v="4"/>
    <n v="41.3"/>
    <n v="495.59999999999997"/>
    <x v="21"/>
    <x v="23"/>
    <x v="2"/>
    <x v="1"/>
    <x v="0"/>
    <x v="0"/>
    <x v="8"/>
    <n v="1"/>
    <x v="3"/>
    <x v="2"/>
  </r>
  <r>
    <x v="513"/>
    <x v="8"/>
    <x v="9"/>
    <n v="16"/>
    <n v="80"/>
    <x v="21"/>
    <x v="25"/>
    <x v="1"/>
    <x v="4"/>
    <x v="1"/>
    <x v="0"/>
    <x v="9"/>
    <n v="2"/>
    <x v="3"/>
    <x v="1"/>
  </r>
  <r>
    <x v="514"/>
    <x v="10"/>
    <x v="1"/>
    <n v="20.8"/>
    <n v="41.6"/>
    <x v="22"/>
    <x v="17"/>
    <x v="1"/>
    <x v="0"/>
    <x v="2"/>
    <x v="0"/>
    <x v="11"/>
    <n v="2"/>
    <x v="3"/>
    <x v="1"/>
  </r>
  <r>
    <x v="515"/>
    <x v="8"/>
    <x v="31"/>
    <n v="27.1"/>
    <n v="758.80000000000007"/>
    <x v="22"/>
    <x v="25"/>
    <x v="0"/>
    <x v="3"/>
    <x v="2"/>
    <x v="0"/>
    <x v="11"/>
    <n v="1"/>
    <x v="3"/>
    <x v="0"/>
  </r>
  <r>
    <x v="516"/>
    <x v="10"/>
    <x v="1"/>
    <n v="38.9"/>
    <n v="77.8"/>
    <x v="22"/>
    <x v="17"/>
    <x v="2"/>
    <x v="0"/>
    <x v="0"/>
    <x v="0"/>
    <x v="18"/>
    <n v="2"/>
    <x v="3"/>
    <x v="2"/>
  </r>
  <r>
    <x v="517"/>
    <x v="0"/>
    <x v="1"/>
    <n v="10.8"/>
    <n v="21.6"/>
    <x v="22"/>
    <x v="19"/>
    <x v="2"/>
    <x v="1"/>
    <x v="2"/>
    <x v="0"/>
    <x v="45"/>
    <n v="3"/>
    <x v="3"/>
    <x v="2"/>
  </r>
  <r>
    <x v="518"/>
    <x v="4"/>
    <x v="15"/>
    <n v="48.4"/>
    <n v="629.19999999999993"/>
    <x v="22"/>
    <x v="22"/>
    <x v="2"/>
    <x v="0"/>
    <x v="0"/>
    <x v="0"/>
    <x v="21"/>
    <n v="4"/>
    <x v="3"/>
    <x v="2"/>
  </r>
  <r>
    <x v="519"/>
    <x v="4"/>
    <x v="2"/>
    <n v="29.2"/>
    <n v="87.6"/>
    <x v="22"/>
    <x v="19"/>
    <x v="2"/>
    <x v="1"/>
    <x v="1"/>
    <x v="0"/>
    <x v="2"/>
    <n v="3"/>
    <x v="3"/>
    <x v="2"/>
  </r>
  <r>
    <x v="520"/>
    <x v="4"/>
    <x v="1"/>
    <n v="25.1"/>
    <n v="50.2"/>
    <x v="22"/>
    <x v="25"/>
    <x v="1"/>
    <x v="0"/>
    <x v="1"/>
    <x v="0"/>
    <x v="2"/>
    <n v="1"/>
    <x v="3"/>
    <x v="1"/>
  </r>
  <r>
    <x v="521"/>
    <x v="7"/>
    <x v="2"/>
    <n v="65.599999999999994"/>
    <n v="196.79999999999998"/>
    <x v="22"/>
    <x v="23"/>
    <x v="2"/>
    <x v="2"/>
    <x v="1"/>
    <x v="0"/>
    <x v="3"/>
    <n v="0"/>
    <x v="3"/>
    <x v="2"/>
  </r>
  <r>
    <x v="522"/>
    <x v="2"/>
    <x v="1"/>
    <n v="57.3"/>
    <n v="114.6"/>
    <x v="22"/>
    <x v="23"/>
    <x v="0"/>
    <x v="0"/>
    <x v="0"/>
    <x v="0"/>
    <x v="3"/>
    <n v="0"/>
    <x v="3"/>
    <x v="0"/>
  </r>
  <r>
    <x v="523"/>
    <x v="9"/>
    <x v="12"/>
    <n v="22.4"/>
    <n v="89.6"/>
    <x v="22"/>
    <x v="25"/>
    <x v="2"/>
    <x v="2"/>
    <x v="2"/>
    <x v="0"/>
    <x v="3"/>
    <n v="1"/>
    <x v="3"/>
    <x v="2"/>
  </r>
  <r>
    <x v="524"/>
    <x v="12"/>
    <x v="11"/>
    <n v="45.7"/>
    <n v="411.3"/>
    <x v="22"/>
    <x v="25"/>
    <x v="2"/>
    <x v="0"/>
    <x v="0"/>
    <x v="0"/>
    <x v="3"/>
    <n v="1"/>
    <x v="3"/>
    <x v="2"/>
  </r>
  <r>
    <x v="525"/>
    <x v="8"/>
    <x v="1"/>
    <n v="29.3"/>
    <n v="58.6"/>
    <x v="22"/>
    <x v="25"/>
    <x v="1"/>
    <x v="1"/>
    <x v="0"/>
    <x v="0"/>
    <x v="3"/>
    <n v="1"/>
    <x v="3"/>
    <x v="1"/>
  </r>
  <r>
    <x v="526"/>
    <x v="18"/>
    <x v="32"/>
    <n v="74"/>
    <n v="1628"/>
    <x v="22"/>
    <x v="25"/>
    <x v="1"/>
    <x v="0"/>
    <x v="2"/>
    <x v="0"/>
    <x v="3"/>
    <n v="1"/>
    <x v="3"/>
    <x v="1"/>
  </r>
  <r>
    <x v="527"/>
    <x v="14"/>
    <x v="1"/>
    <n v="39.200000000000003"/>
    <n v="78.400000000000006"/>
    <x v="22"/>
    <x v="17"/>
    <x v="2"/>
    <x v="1"/>
    <x v="0"/>
    <x v="0"/>
    <x v="3"/>
    <n v="2"/>
    <x v="3"/>
    <x v="2"/>
  </r>
  <r>
    <x v="528"/>
    <x v="4"/>
    <x v="14"/>
    <n v="62.7"/>
    <n v="1065.9000000000001"/>
    <x v="22"/>
    <x v="25"/>
    <x v="2"/>
    <x v="2"/>
    <x v="1"/>
    <x v="0"/>
    <x v="3"/>
    <n v="1"/>
    <x v="3"/>
    <x v="2"/>
  </r>
  <r>
    <x v="529"/>
    <x v="10"/>
    <x v="1"/>
    <n v="60.1"/>
    <n v="120.2"/>
    <x v="22"/>
    <x v="25"/>
    <x v="2"/>
    <x v="3"/>
    <x v="0"/>
    <x v="0"/>
    <x v="3"/>
    <n v="1"/>
    <x v="3"/>
    <x v="2"/>
  </r>
  <r>
    <x v="530"/>
    <x v="0"/>
    <x v="12"/>
    <n v="11.2"/>
    <n v="44.8"/>
    <x v="22"/>
    <x v="25"/>
    <x v="2"/>
    <x v="3"/>
    <x v="1"/>
    <x v="0"/>
    <x v="3"/>
    <n v="1"/>
    <x v="3"/>
    <x v="2"/>
  </r>
  <r>
    <x v="531"/>
    <x v="8"/>
    <x v="1"/>
    <n v="22.9"/>
    <n v="45.8"/>
    <x v="22"/>
    <x v="25"/>
    <x v="2"/>
    <x v="0"/>
    <x v="0"/>
    <x v="0"/>
    <x v="6"/>
    <n v="1"/>
    <x v="3"/>
    <x v="2"/>
  </r>
  <r>
    <x v="532"/>
    <x v="1"/>
    <x v="1"/>
    <n v="37.6"/>
    <n v="75.2"/>
    <x v="22"/>
    <x v="19"/>
    <x v="2"/>
    <x v="0"/>
    <x v="0"/>
    <x v="0"/>
    <x v="6"/>
    <n v="3"/>
    <x v="3"/>
    <x v="2"/>
  </r>
  <r>
    <x v="533"/>
    <x v="6"/>
    <x v="0"/>
    <n v="42.4"/>
    <n v="42.4"/>
    <x v="22"/>
    <x v="25"/>
    <x v="2"/>
    <x v="3"/>
    <x v="2"/>
    <x v="0"/>
    <x v="6"/>
    <n v="1"/>
    <x v="3"/>
    <x v="2"/>
  </r>
  <r>
    <x v="534"/>
    <x v="8"/>
    <x v="1"/>
    <n v="19.600000000000001"/>
    <n v="39.200000000000003"/>
    <x v="22"/>
    <x v="22"/>
    <x v="2"/>
    <x v="2"/>
    <x v="0"/>
    <x v="0"/>
    <x v="7"/>
    <n v="4"/>
    <x v="3"/>
    <x v="2"/>
  </r>
  <r>
    <x v="535"/>
    <x v="9"/>
    <x v="0"/>
    <n v="90.5"/>
    <n v="90.5"/>
    <x v="22"/>
    <x v="19"/>
    <x v="2"/>
    <x v="2"/>
    <x v="0"/>
    <x v="0"/>
    <x v="7"/>
    <n v="3"/>
    <x v="3"/>
    <x v="2"/>
  </r>
  <r>
    <x v="536"/>
    <x v="16"/>
    <x v="5"/>
    <n v="33.9"/>
    <n v="372.9"/>
    <x v="22"/>
    <x v="25"/>
    <x v="1"/>
    <x v="2"/>
    <x v="1"/>
    <x v="0"/>
    <x v="7"/>
    <n v="1"/>
    <x v="3"/>
    <x v="1"/>
  </r>
  <r>
    <x v="537"/>
    <x v="0"/>
    <x v="1"/>
    <n v="32.799999999999997"/>
    <n v="65.599999999999994"/>
    <x v="22"/>
    <x v="17"/>
    <x v="2"/>
    <x v="4"/>
    <x v="4"/>
    <x v="0"/>
    <x v="8"/>
    <n v="2"/>
    <x v="3"/>
    <x v="2"/>
  </r>
  <r>
    <x v="538"/>
    <x v="15"/>
    <x v="0"/>
    <n v="49.9"/>
    <n v="49.9"/>
    <x v="22"/>
    <x v="25"/>
    <x v="1"/>
    <x v="3"/>
    <x v="1"/>
    <x v="0"/>
    <x v="8"/>
    <n v="1"/>
    <x v="3"/>
    <x v="1"/>
  </r>
  <r>
    <x v="539"/>
    <x v="7"/>
    <x v="9"/>
    <n v="79.2"/>
    <n v="396"/>
    <x v="22"/>
    <x v="25"/>
    <x v="2"/>
    <x v="4"/>
    <x v="0"/>
    <x v="0"/>
    <x v="8"/>
    <n v="1"/>
    <x v="3"/>
    <x v="2"/>
  </r>
  <r>
    <x v="540"/>
    <x v="8"/>
    <x v="27"/>
    <n v="19.5"/>
    <n v="312"/>
    <x v="22"/>
    <x v="17"/>
    <x v="1"/>
    <x v="3"/>
    <x v="2"/>
    <x v="0"/>
    <x v="8"/>
    <n v="2"/>
    <x v="3"/>
    <x v="1"/>
  </r>
  <r>
    <x v="541"/>
    <x v="8"/>
    <x v="12"/>
    <n v="18"/>
    <n v="72"/>
    <x v="22"/>
    <x v="25"/>
    <x v="1"/>
    <x v="1"/>
    <x v="0"/>
    <x v="0"/>
    <x v="10"/>
    <n v="1"/>
    <x v="3"/>
    <x v="1"/>
  </r>
  <r>
    <x v="542"/>
    <x v="9"/>
    <x v="2"/>
    <n v="45.9"/>
    <n v="137.69999999999999"/>
    <x v="22"/>
    <x v="17"/>
    <x v="2"/>
    <x v="1"/>
    <x v="1"/>
    <x v="0"/>
    <x v="10"/>
    <n v="2"/>
    <x v="3"/>
    <x v="2"/>
  </r>
  <r>
    <x v="543"/>
    <x v="11"/>
    <x v="0"/>
    <n v="41.2"/>
    <n v="41.2"/>
    <x v="22"/>
    <x v="17"/>
    <x v="2"/>
    <x v="1"/>
    <x v="2"/>
    <x v="0"/>
    <x v="11"/>
    <n v="2"/>
    <x v="3"/>
    <x v="2"/>
  </r>
  <r>
    <x v="544"/>
    <x v="2"/>
    <x v="7"/>
    <n v="167.2"/>
    <n v="1672"/>
    <x v="22"/>
    <x v="17"/>
    <x v="2"/>
    <x v="2"/>
    <x v="2"/>
    <x v="0"/>
    <x v="32"/>
    <n v="2"/>
    <x v="3"/>
    <x v="2"/>
  </r>
  <r>
    <x v="545"/>
    <x v="6"/>
    <x v="17"/>
    <n v="74.5"/>
    <n v="2235"/>
    <x v="23"/>
    <x v="22"/>
    <x v="2"/>
    <x v="1"/>
    <x v="2"/>
    <x v="0"/>
    <x v="38"/>
    <n v="3"/>
    <x v="3"/>
    <x v="2"/>
  </r>
  <r>
    <x v="546"/>
    <x v="7"/>
    <x v="12"/>
    <n v="39.299999999999997"/>
    <n v="157.19999999999999"/>
    <x v="23"/>
    <x v="17"/>
    <x v="0"/>
    <x v="2"/>
    <x v="0"/>
    <x v="0"/>
    <x v="19"/>
    <n v="1"/>
    <x v="3"/>
    <x v="0"/>
  </r>
  <r>
    <x v="547"/>
    <x v="9"/>
    <x v="0"/>
    <n v="68.5"/>
    <n v="68.5"/>
    <x v="23"/>
    <x v="22"/>
    <x v="1"/>
    <x v="1"/>
    <x v="2"/>
    <x v="0"/>
    <x v="12"/>
    <n v="3"/>
    <x v="3"/>
    <x v="1"/>
  </r>
  <r>
    <x v="548"/>
    <x v="0"/>
    <x v="2"/>
    <n v="22.5"/>
    <n v="67.5"/>
    <x v="23"/>
    <x v="25"/>
    <x v="2"/>
    <x v="4"/>
    <x v="0"/>
    <x v="0"/>
    <x v="13"/>
    <n v="0"/>
    <x v="3"/>
    <x v="2"/>
  </r>
  <r>
    <x v="549"/>
    <x v="1"/>
    <x v="0"/>
    <n v="48"/>
    <n v="48"/>
    <x v="23"/>
    <x v="17"/>
    <x v="3"/>
    <x v="4"/>
    <x v="1"/>
    <x v="0"/>
    <x v="46"/>
    <n v="1"/>
    <x v="3"/>
    <x v="3"/>
  </r>
  <r>
    <x v="550"/>
    <x v="6"/>
    <x v="0"/>
    <n v="94"/>
    <n v="94"/>
    <x v="23"/>
    <x v="17"/>
    <x v="1"/>
    <x v="3"/>
    <x v="1"/>
    <x v="0"/>
    <x v="1"/>
    <n v="1"/>
    <x v="3"/>
    <x v="1"/>
  </r>
  <r>
    <x v="551"/>
    <x v="8"/>
    <x v="2"/>
    <n v="21.9"/>
    <n v="65.699999999999989"/>
    <x v="23"/>
    <x v="17"/>
    <x v="2"/>
    <x v="0"/>
    <x v="0"/>
    <x v="0"/>
    <x v="44"/>
    <n v="1"/>
    <x v="3"/>
    <x v="2"/>
  </r>
  <r>
    <x v="552"/>
    <x v="6"/>
    <x v="3"/>
    <n v="64.900000000000006"/>
    <n v="454.30000000000007"/>
    <x v="23"/>
    <x v="17"/>
    <x v="2"/>
    <x v="0"/>
    <x v="0"/>
    <x v="0"/>
    <x v="3"/>
    <n v="1"/>
    <x v="3"/>
    <x v="2"/>
  </r>
  <r>
    <x v="553"/>
    <x v="12"/>
    <x v="0"/>
    <n v="52.9"/>
    <n v="52.9"/>
    <x v="23"/>
    <x v="25"/>
    <x v="2"/>
    <x v="1"/>
    <x v="1"/>
    <x v="0"/>
    <x v="3"/>
    <n v="0"/>
    <x v="3"/>
    <x v="2"/>
  </r>
  <r>
    <x v="554"/>
    <x v="8"/>
    <x v="2"/>
    <n v="25.5"/>
    <n v="76.5"/>
    <x v="23"/>
    <x v="17"/>
    <x v="2"/>
    <x v="1"/>
    <x v="2"/>
    <x v="0"/>
    <x v="3"/>
    <n v="1"/>
    <x v="3"/>
    <x v="2"/>
  </r>
  <r>
    <x v="555"/>
    <x v="6"/>
    <x v="2"/>
    <n v="51.9"/>
    <n v="155.69999999999999"/>
    <x v="23"/>
    <x v="17"/>
    <x v="2"/>
    <x v="3"/>
    <x v="0"/>
    <x v="0"/>
    <x v="3"/>
    <n v="1"/>
    <x v="3"/>
    <x v="2"/>
  </r>
  <r>
    <x v="556"/>
    <x v="5"/>
    <x v="0"/>
    <n v="46.3"/>
    <n v="46.3"/>
    <x v="23"/>
    <x v="22"/>
    <x v="2"/>
    <x v="4"/>
    <x v="0"/>
    <x v="0"/>
    <x v="3"/>
    <n v="3"/>
    <x v="3"/>
    <x v="2"/>
  </r>
  <r>
    <x v="557"/>
    <x v="6"/>
    <x v="1"/>
    <n v="68.2"/>
    <n v="136.4"/>
    <x v="23"/>
    <x v="19"/>
    <x v="2"/>
    <x v="3"/>
    <x v="0"/>
    <x v="0"/>
    <x v="3"/>
    <n v="2"/>
    <x v="3"/>
    <x v="2"/>
  </r>
  <r>
    <x v="558"/>
    <x v="1"/>
    <x v="0"/>
    <n v="40.299999999999997"/>
    <n v="40.299999999999997"/>
    <x v="23"/>
    <x v="17"/>
    <x v="1"/>
    <x v="0"/>
    <x v="1"/>
    <x v="0"/>
    <x v="3"/>
    <n v="1"/>
    <x v="3"/>
    <x v="1"/>
  </r>
  <r>
    <x v="559"/>
    <x v="2"/>
    <x v="2"/>
    <n v="91.3"/>
    <n v="273.89999999999998"/>
    <x v="23"/>
    <x v="28"/>
    <x v="1"/>
    <x v="0"/>
    <x v="2"/>
    <x v="0"/>
    <x v="6"/>
    <n v="5"/>
    <x v="3"/>
    <x v="1"/>
  </r>
  <r>
    <x v="560"/>
    <x v="0"/>
    <x v="2"/>
    <n v="11.9"/>
    <n v="35.700000000000003"/>
    <x v="23"/>
    <x v="17"/>
    <x v="2"/>
    <x v="0"/>
    <x v="1"/>
    <x v="0"/>
    <x v="6"/>
    <n v="1"/>
    <x v="3"/>
    <x v="2"/>
  </r>
  <r>
    <x v="561"/>
    <x v="2"/>
    <x v="1"/>
    <n v="63.5"/>
    <n v="127"/>
    <x v="23"/>
    <x v="19"/>
    <x v="1"/>
    <x v="1"/>
    <x v="0"/>
    <x v="0"/>
    <x v="6"/>
    <n v="2"/>
    <x v="3"/>
    <x v="1"/>
  </r>
  <r>
    <x v="562"/>
    <x v="4"/>
    <x v="1"/>
    <n v="27.1"/>
    <n v="54.2"/>
    <x v="23"/>
    <x v="22"/>
    <x v="1"/>
    <x v="2"/>
    <x v="2"/>
    <x v="0"/>
    <x v="6"/>
    <n v="3"/>
    <x v="3"/>
    <x v="1"/>
  </r>
  <r>
    <x v="563"/>
    <x v="1"/>
    <x v="1"/>
    <n v="82.1"/>
    <n v="164.2"/>
    <x v="24"/>
    <x v="29"/>
    <x v="1"/>
    <x v="1"/>
    <x v="1"/>
    <x v="0"/>
    <x v="7"/>
    <n v="3"/>
    <x v="3"/>
    <x v="1"/>
  </r>
  <r>
    <x v="564"/>
    <x v="3"/>
    <x v="9"/>
    <n v="42.9"/>
    <n v="214.5"/>
    <x v="24"/>
    <x v="22"/>
    <x v="2"/>
    <x v="1"/>
    <x v="0"/>
    <x v="0"/>
    <x v="8"/>
    <n v="2"/>
    <x v="3"/>
    <x v="2"/>
  </r>
  <r>
    <x v="565"/>
    <x v="8"/>
    <x v="5"/>
    <n v="37.9"/>
    <n v="416.9"/>
    <x v="24"/>
    <x v="30"/>
    <x v="1"/>
    <x v="0"/>
    <x v="0"/>
    <x v="0"/>
    <x v="8"/>
    <n v="7"/>
    <x v="3"/>
    <x v="1"/>
  </r>
  <r>
    <x v="566"/>
    <x v="0"/>
    <x v="0"/>
    <n v="22.4"/>
    <n v="22.4"/>
    <x v="24"/>
    <x v="19"/>
    <x v="2"/>
    <x v="0"/>
    <x v="1"/>
    <x v="0"/>
    <x v="17"/>
    <n v="1"/>
    <x v="3"/>
    <x v="2"/>
  </r>
  <r>
    <x v="567"/>
    <x v="2"/>
    <x v="15"/>
    <n v="79.900000000000006"/>
    <n v="1038.7"/>
    <x v="24"/>
    <x v="31"/>
    <x v="2"/>
    <x v="3"/>
    <x v="1"/>
    <x v="0"/>
    <x v="11"/>
    <n v="13"/>
    <x v="3"/>
    <x v="2"/>
  </r>
  <r>
    <x v="568"/>
    <x v="1"/>
    <x v="0"/>
    <n v="70.599999999999994"/>
    <n v="70.599999999999994"/>
    <x v="24"/>
    <x v="29"/>
    <x v="2"/>
    <x v="0"/>
    <x v="1"/>
    <x v="0"/>
    <x v="11"/>
    <n v="3"/>
    <x v="3"/>
    <x v="2"/>
  </r>
  <r>
    <x v="569"/>
    <x v="6"/>
    <x v="0"/>
    <n v="49.5"/>
    <n v="49.5"/>
    <x v="24"/>
    <x v="22"/>
    <x v="1"/>
    <x v="0"/>
    <x v="0"/>
    <x v="0"/>
    <x v="13"/>
    <n v="2"/>
    <x v="3"/>
    <x v="1"/>
  </r>
  <r>
    <x v="570"/>
    <x v="2"/>
    <x v="1"/>
    <n v="96.6"/>
    <n v="193.2"/>
    <x v="24"/>
    <x v="22"/>
    <x v="1"/>
    <x v="0"/>
    <x v="0"/>
    <x v="0"/>
    <x v="21"/>
    <n v="2"/>
    <x v="3"/>
    <x v="1"/>
  </r>
  <r>
    <x v="571"/>
    <x v="6"/>
    <x v="1"/>
    <n v="52.8"/>
    <n v="105.6"/>
    <x v="24"/>
    <x v="19"/>
    <x v="2"/>
    <x v="1"/>
    <x v="1"/>
    <x v="0"/>
    <x v="21"/>
    <n v="1"/>
    <x v="3"/>
    <x v="2"/>
  </r>
  <r>
    <x v="572"/>
    <x v="2"/>
    <x v="0"/>
    <n v="101.7"/>
    <n v="101.7"/>
    <x v="24"/>
    <x v="19"/>
    <x v="1"/>
    <x v="0"/>
    <x v="0"/>
    <x v="0"/>
    <x v="1"/>
    <n v="1"/>
    <x v="3"/>
    <x v="1"/>
  </r>
  <r>
    <x v="573"/>
    <x v="4"/>
    <x v="9"/>
    <n v="26.9"/>
    <n v="134.5"/>
    <x v="24"/>
    <x v="26"/>
    <x v="2"/>
    <x v="1"/>
    <x v="1"/>
    <x v="0"/>
    <x v="22"/>
    <n v="5"/>
    <x v="3"/>
    <x v="2"/>
  </r>
  <r>
    <x v="574"/>
    <x v="2"/>
    <x v="12"/>
    <n v="211"/>
    <n v="844"/>
    <x v="24"/>
    <x v="17"/>
    <x v="2"/>
    <x v="1"/>
    <x v="1"/>
    <x v="0"/>
    <x v="3"/>
    <n v="0"/>
    <x v="3"/>
    <x v="2"/>
  </r>
  <r>
    <x v="575"/>
    <x v="0"/>
    <x v="12"/>
    <n v="21.1"/>
    <n v="84.4"/>
    <x v="24"/>
    <x v="29"/>
    <x v="1"/>
    <x v="4"/>
    <x v="0"/>
    <x v="0"/>
    <x v="3"/>
    <n v="3"/>
    <x v="3"/>
    <x v="1"/>
  </r>
  <r>
    <x v="576"/>
    <x v="10"/>
    <x v="0"/>
    <n v="26.6"/>
    <n v="26.6"/>
    <x v="24"/>
    <x v="22"/>
    <x v="1"/>
    <x v="0"/>
    <x v="4"/>
    <x v="0"/>
    <x v="3"/>
    <n v="2"/>
    <x v="3"/>
    <x v="1"/>
  </r>
  <r>
    <x v="577"/>
    <x v="12"/>
    <x v="12"/>
    <n v="51.2"/>
    <n v="204.8"/>
    <x v="24"/>
    <x v="19"/>
    <x v="2"/>
    <x v="3"/>
    <x v="0"/>
    <x v="0"/>
    <x v="47"/>
    <n v="1"/>
    <x v="3"/>
    <x v="2"/>
  </r>
  <r>
    <x v="578"/>
    <x v="0"/>
    <x v="9"/>
    <n v="10.6"/>
    <n v="53"/>
    <x v="24"/>
    <x v="28"/>
    <x v="2"/>
    <x v="0"/>
    <x v="0"/>
    <x v="0"/>
    <x v="8"/>
    <n v="4"/>
    <x v="3"/>
    <x v="2"/>
  </r>
  <r>
    <x v="579"/>
    <x v="6"/>
    <x v="2"/>
    <n v="43.4"/>
    <n v="130.19999999999999"/>
    <x v="24"/>
    <x v="29"/>
    <x v="2"/>
    <x v="4"/>
    <x v="0"/>
    <x v="0"/>
    <x v="8"/>
    <n v="3"/>
    <x v="3"/>
    <x v="2"/>
  </r>
  <r>
    <x v="580"/>
    <x v="12"/>
    <x v="0"/>
    <n v="80"/>
    <n v="80"/>
    <x v="24"/>
    <x v="17"/>
    <x v="2"/>
    <x v="0"/>
    <x v="2"/>
    <x v="0"/>
    <x v="8"/>
    <n v="0"/>
    <x v="3"/>
    <x v="2"/>
  </r>
  <r>
    <x v="581"/>
    <x v="10"/>
    <x v="12"/>
    <n v="64.7"/>
    <n v="258.8"/>
    <x v="24"/>
    <x v="22"/>
    <x v="2"/>
    <x v="1"/>
    <x v="4"/>
    <x v="0"/>
    <x v="8"/>
    <n v="2"/>
    <x v="3"/>
    <x v="2"/>
  </r>
  <r>
    <x v="582"/>
    <x v="8"/>
    <x v="5"/>
    <n v="26.3"/>
    <n v="289.3"/>
    <x v="25"/>
    <x v="19"/>
    <x v="2"/>
    <x v="4"/>
    <x v="1"/>
    <x v="0"/>
    <x v="26"/>
    <n v="0"/>
    <x v="4"/>
    <x v="2"/>
  </r>
  <r>
    <x v="583"/>
    <x v="10"/>
    <x v="0"/>
    <n v="28.5"/>
    <n v="28.5"/>
    <x v="25"/>
    <x v="19"/>
    <x v="1"/>
    <x v="0"/>
    <x v="1"/>
    <x v="0"/>
    <x v="9"/>
    <n v="0"/>
    <x v="4"/>
    <x v="1"/>
  </r>
  <r>
    <x v="584"/>
    <x v="17"/>
    <x v="0"/>
    <n v="47.8"/>
    <n v="47.8"/>
    <x v="25"/>
    <x v="29"/>
    <x v="2"/>
    <x v="0"/>
    <x v="1"/>
    <x v="0"/>
    <x v="9"/>
    <n v="2"/>
    <x v="4"/>
    <x v="2"/>
  </r>
  <r>
    <x v="585"/>
    <x v="10"/>
    <x v="2"/>
    <n v="42.8"/>
    <n v="128.39999999999998"/>
    <x v="25"/>
    <x v="28"/>
    <x v="2"/>
    <x v="4"/>
    <x v="1"/>
    <x v="0"/>
    <x v="11"/>
    <n v="3"/>
    <x v="4"/>
    <x v="2"/>
  </r>
  <r>
    <x v="586"/>
    <x v="6"/>
    <x v="9"/>
    <n v="46.8"/>
    <n v="234"/>
    <x v="25"/>
    <x v="27"/>
    <x v="2"/>
    <x v="1"/>
    <x v="2"/>
    <x v="0"/>
    <x v="11"/>
    <n v="5"/>
    <x v="4"/>
    <x v="2"/>
  </r>
  <r>
    <x v="587"/>
    <x v="1"/>
    <x v="7"/>
    <n v="64.099999999999994"/>
    <n v="641"/>
    <x v="25"/>
    <x v="22"/>
    <x v="1"/>
    <x v="1"/>
    <x v="0"/>
    <x v="0"/>
    <x v="11"/>
    <n v="1"/>
    <x v="4"/>
    <x v="1"/>
  </r>
  <r>
    <x v="588"/>
    <x v="2"/>
    <x v="0"/>
    <n v="89.1"/>
    <n v="89.1"/>
    <x v="25"/>
    <x v="22"/>
    <x v="2"/>
    <x v="0"/>
    <x v="1"/>
    <x v="0"/>
    <x v="20"/>
    <n v="1"/>
    <x v="4"/>
    <x v="2"/>
  </r>
  <r>
    <x v="589"/>
    <x v="2"/>
    <x v="2"/>
    <n v="83.1"/>
    <n v="249.29999999999998"/>
    <x v="25"/>
    <x v="22"/>
    <x v="2"/>
    <x v="2"/>
    <x v="1"/>
    <x v="0"/>
    <x v="13"/>
    <n v="1"/>
    <x v="4"/>
    <x v="2"/>
  </r>
  <r>
    <x v="590"/>
    <x v="8"/>
    <x v="2"/>
    <n v="40.9"/>
    <n v="122.69999999999999"/>
    <x v="25"/>
    <x v="22"/>
    <x v="1"/>
    <x v="0"/>
    <x v="0"/>
    <x v="0"/>
    <x v="1"/>
    <n v="1"/>
    <x v="4"/>
    <x v="1"/>
  </r>
  <r>
    <x v="591"/>
    <x v="2"/>
    <x v="1"/>
    <n v="125.7"/>
    <n v="251.4"/>
    <x v="25"/>
    <x v="22"/>
    <x v="2"/>
    <x v="3"/>
    <x v="0"/>
    <x v="0"/>
    <x v="2"/>
    <n v="1"/>
    <x v="4"/>
    <x v="2"/>
  </r>
  <r>
    <x v="592"/>
    <x v="3"/>
    <x v="1"/>
    <n v="30.9"/>
    <n v="61.8"/>
    <x v="25"/>
    <x v="19"/>
    <x v="2"/>
    <x v="2"/>
    <x v="2"/>
    <x v="0"/>
    <x v="22"/>
    <n v="0"/>
    <x v="4"/>
    <x v="2"/>
  </r>
  <r>
    <x v="593"/>
    <x v="8"/>
    <x v="1"/>
    <n v="18.3"/>
    <n v="36.6"/>
    <x v="25"/>
    <x v="22"/>
    <x v="2"/>
    <x v="1"/>
    <x v="0"/>
    <x v="0"/>
    <x v="3"/>
    <n v="1"/>
    <x v="4"/>
    <x v="2"/>
  </r>
  <r>
    <x v="594"/>
    <x v="4"/>
    <x v="1"/>
    <n v="56.5"/>
    <n v="113"/>
    <x v="25"/>
    <x v="26"/>
    <x v="1"/>
    <x v="2"/>
    <x v="2"/>
    <x v="0"/>
    <x v="3"/>
    <n v="4"/>
    <x v="4"/>
    <x v="1"/>
  </r>
  <r>
    <x v="595"/>
    <x v="10"/>
    <x v="3"/>
    <n v="29.9"/>
    <n v="209.29999999999998"/>
    <x v="25"/>
    <x v="29"/>
    <x v="1"/>
    <x v="4"/>
    <x v="2"/>
    <x v="0"/>
    <x v="3"/>
    <n v="2"/>
    <x v="4"/>
    <x v="1"/>
  </r>
  <r>
    <x v="596"/>
    <x v="5"/>
    <x v="1"/>
    <n v="50.4"/>
    <n v="100.8"/>
    <x v="25"/>
    <x v="22"/>
    <x v="2"/>
    <x v="2"/>
    <x v="0"/>
    <x v="0"/>
    <x v="3"/>
    <n v="1"/>
    <x v="4"/>
    <x v="2"/>
  </r>
  <r>
    <x v="597"/>
    <x v="2"/>
    <x v="0"/>
    <n v="85.8"/>
    <n v="85.8"/>
    <x v="25"/>
    <x v="19"/>
    <x v="2"/>
    <x v="2"/>
    <x v="2"/>
    <x v="0"/>
    <x v="3"/>
    <n v="0"/>
    <x v="4"/>
    <x v="2"/>
  </r>
  <r>
    <x v="598"/>
    <x v="4"/>
    <x v="27"/>
    <n v="66.599999999999994"/>
    <n v="1065.5999999999999"/>
    <x v="25"/>
    <x v="29"/>
    <x v="1"/>
    <x v="1"/>
    <x v="0"/>
    <x v="0"/>
    <x v="3"/>
    <n v="2"/>
    <x v="4"/>
    <x v="1"/>
  </r>
  <r>
    <x v="599"/>
    <x v="6"/>
    <x v="12"/>
    <n v="70.3"/>
    <n v="281.2"/>
    <x v="25"/>
    <x v="22"/>
    <x v="2"/>
    <x v="0"/>
    <x v="1"/>
    <x v="0"/>
    <x v="3"/>
    <n v="1"/>
    <x v="4"/>
    <x v="2"/>
  </r>
  <r>
    <x v="600"/>
    <x v="8"/>
    <x v="12"/>
    <n v="31"/>
    <n v="124"/>
    <x v="25"/>
    <x v="28"/>
    <x v="1"/>
    <x v="0"/>
    <x v="2"/>
    <x v="0"/>
    <x v="3"/>
    <n v="3"/>
    <x v="4"/>
    <x v="1"/>
  </r>
  <r>
    <x v="601"/>
    <x v="7"/>
    <x v="13"/>
    <n v="81.599999999999994"/>
    <n v="489.59999999999997"/>
    <x v="25"/>
    <x v="22"/>
    <x v="2"/>
    <x v="1"/>
    <x v="1"/>
    <x v="0"/>
    <x v="37"/>
    <n v="1"/>
    <x v="4"/>
    <x v="2"/>
  </r>
  <r>
    <x v="602"/>
    <x v="1"/>
    <x v="30"/>
    <n v="58.3"/>
    <n v="1457.5"/>
    <x v="25"/>
    <x v="22"/>
    <x v="2"/>
    <x v="0"/>
    <x v="0"/>
    <x v="0"/>
    <x v="16"/>
    <n v="1"/>
    <x v="4"/>
    <x v="2"/>
  </r>
  <r>
    <x v="603"/>
    <x v="1"/>
    <x v="12"/>
    <n v="35.1"/>
    <n v="140.4"/>
    <x v="25"/>
    <x v="29"/>
    <x v="1"/>
    <x v="0"/>
    <x v="2"/>
    <x v="0"/>
    <x v="8"/>
    <n v="2"/>
    <x v="4"/>
    <x v="1"/>
  </r>
  <r>
    <x v="604"/>
    <x v="2"/>
    <x v="0"/>
    <n v="80.2"/>
    <n v="80.2"/>
    <x v="25"/>
    <x v="22"/>
    <x v="1"/>
    <x v="3"/>
    <x v="2"/>
    <x v="0"/>
    <x v="8"/>
    <n v="1"/>
    <x v="4"/>
    <x v="1"/>
  </r>
  <r>
    <x v="605"/>
    <x v="14"/>
    <x v="2"/>
    <n v="39.200000000000003"/>
    <n v="117.60000000000001"/>
    <x v="25"/>
    <x v="29"/>
    <x v="2"/>
    <x v="1"/>
    <x v="0"/>
    <x v="0"/>
    <x v="9"/>
    <n v="2"/>
    <x v="4"/>
    <x v="2"/>
  </r>
  <r>
    <x v="606"/>
    <x v="0"/>
    <x v="1"/>
    <n v="15.4"/>
    <n v="30.8"/>
    <x v="25"/>
    <x v="19"/>
    <x v="2"/>
    <x v="3"/>
    <x v="0"/>
    <x v="0"/>
    <x v="48"/>
    <n v="0"/>
    <x v="4"/>
    <x v="2"/>
  </r>
  <r>
    <x v="607"/>
    <x v="3"/>
    <x v="2"/>
    <n v="65.400000000000006"/>
    <n v="196.20000000000002"/>
    <x v="25"/>
    <x v="28"/>
    <x v="1"/>
    <x v="3"/>
    <x v="0"/>
    <x v="0"/>
    <x v="18"/>
    <n v="3"/>
    <x v="4"/>
    <x v="1"/>
  </r>
  <r>
    <x v="608"/>
    <x v="1"/>
    <x v="8"/>
    <n v="63.2"/>
    <n v="505.6"/>
    <x v="25"/>
    <x v="29"/>
    <x v="2"/>
    <x v="1"/>
    <x v="0"/>
    <x v="0"/>
    <x v="19"/>
    <n v="2"/>
    <x v="4"/>
    <x v="2"/>
  </r>
  <r>
    <x v="609"/>
    <x v="1"/>
    <x v="13"/>
    <n v="35.700000000000003"/>
    <n v="214.20000000000002"/>
    <x v="25"/>
    <x v="26"/>
    <x v="2"/>
    <x v="4"/>
    <x v="1"/>
    <x v="0"/>
    <x v="19"/>
    <n v="4"/>
    <x v="4"/>
    <x v="2"/>
  </r>
  <r>
    <x v="610"/>
    <x v="0"/>
    <x v="28"/>
    <n v="26.2"/>
    <n v="524"/>
    <x v="25"/>
    <x v="22"/>
    <x v="2"/>
    <x v="3"/>
    <x v="0"/>
    <x v="0"/>
    <x v="21"/>
    <n v="1"/>
    <x v="4"/>
    <x v="2"/>
  </r>
  <r>
    <x v="611"/>
    <x v="7"/>
    <x v="1"/>
    <n v="31"/>
    <n v="62"/>
    <x v="25"/>
    <x v="22"/>
    <x v="2"/>
    <x v="0"/>
    <x v="2"/>
    <x v="0"/>
    <x v="1"/>
    <n v="1"/>
    <x v="4"/>
    <x v="2"/>
  </r>
  <r>
    <x v="612"/>
    <x v="8"/>
    <x v="12"/>
    <n v="37.700000000000003"/>
    <n v="150.80000000000001"/>
    <x v="25"/>
    <x v="22"/>
    <x v="2"/>
    <x v="1"/>
    <x v="0"/>
    <x v="0"/>
    <x v="22"/>
    <n v="1"/>
    <x v="4"/>
    <x v="2"/>
  </r>
  <r>
    <x v="613"/>
    <x v="10"/>
    <x v="33"/>
    <n v="43.6"/>
    <n v="1482.4"/>
    <x v="25"/>
    <x v="29"/>
    <x v="2"/>
    <x v="4"/>
    <x v="1"/>
    <x v="0"/>
    <x v="3"/>
    <n v="2"/>
    <x v="4"/>
    <x v="2"/>
  </r>
  <r>
    <x v="614"/>
    <x v="9"/>
    <x v="12"/>
    <n v="26.5"/>
    <n v="106"/>
    <x v="25"/>
    <x v="29"/>
    <x v="1"/>
    <x v="0"/>
    <x v="4"/>
    <x v="0"/>
    <x v="3"/>
    <n v="2"/>
    <x v="4"/>
    <x v="1"/>
  </r>
  <r>
    <x v="615"/>
    <x v="0"/>
    <x v="1"/>
    <n v="34.6"/>
    <n v="69.2"/>
    <x v="25"/>
    <x v="22"/>
    <x v="1"/>
    <x v="4"/>
    <x v="1"/>
    <x v="0"/>
    <x v="3"/>
    <n v="1"/>
    <x v="4"/>
    <x v="1"/>
  </r>
  <r>
    <x v="616"/>
    <x v="8"/>
    <x v="1"/>
    <n v="58.2"/>
    <n v="116.4"/>
    <x v="25"/>
    <x v="22"/>
    <x v="1"/>
    <x v="2"/>
    <x v="2"/>
    <x v="0"/>
    <x v="3"/>
    <n v="1"/>
    <x v="4"/>
    <x v="1"/>
  </r>
  <r>
    <x v="617"/>
    <x v="7"/>
    <x v="0"/>
    <n v="30.2"/>
    <n v="30.2"/>
    <x v="26"/>
    <x v="29"/>
    <x v="2"/>
    <x v="2"/>
    <x v="1"/>
    <x v="0"/>
    <x v="3"/>
    <n v="1"/>
    <x v="4"/>
    <x v="2"/>
  </r>
  <r>
    <x v="618"/>
    <x v="1"/>
    <x v="7"/>
    <n v="53.2"/>
    <n v="532"/>
    <x v="26"/>
    <x v="29"/>
    <x v="1"/>
    <x v="0"/>
    <x v="2"/>
    <x v="0"/>
    <x v="5"/>
    <n v="1"/>
    <x v="4"/>
    <x v="1"/>
  </r>
  <r>
    <x v="619"/>
    <x v="12"/>
    <x v="13"/>
    <n v="51.1"/>
    <n v="306.60000000000002"/>
    <x v="26"/>
    <x v="22"/>
    <x v="1"/>
    <x v="1"/>
    <x v="2"/>
    <x v="0"/>
    <x v="5"/>
    <n v="0"/>
    <x v="4"/>
    <x v="1"/>
  </r>
  <r>
    <x v="620"/>
    <x v="1"/>
    <x v="0"/>
    <n v="105.4"/>
    <n v="105.4"/>
    <x v="26"/>
    <x v="27"/>
    <x v="2"/>
    <x v="1"/>
    <x v="2"/>
    <x v="0"/>
    <x v="23"/>
    <n v="4"/>
    <x v="4"/>
    <x v="2"/>
  </r>
  <r>
    <x v="621"/>
    <x v="7"/>
    <x v="0"/>
    <n v="57.7"/>
    <n v="57.7"/>
    <x v="26"/>
    <x v="22"/>
    <x v="1"/>
    <x v="0"/>
    <x v="4"/>
    <x v="0"/>
    <x v="8"/>
    <n v="0"/>
    <x v="4"/>
    <x v="1"/>
  </r>
  <r>
    <x v="622"/>
    <x v="15"/>
    <x v="1"/>
    <n v="72.400000000000006"/>
    <n v="144.80000000000001"/>
    <x v="26"/>
    <x v="30"/>
    <x v="2"/>
    <x v="0"/>
    <x v="0"/>
    <x v="0"/>
    <x v="17"/>
    <n v="5"/>
    <x v="4"/>
    <x v="2"/>
  </r>
  <r>
    <x v="623"/>
    <x v="6"/>
    <x v="1"/>
    <n v="62.5"/>
    <n v="125"/>
    <x v="26"/>
    <x v="29"/>
    <x v="0"/>
    <x v="0"/>
    <x v="2"/>
    <x v="0"/>
    <x v="11"/>
    <n v="1"/>
    <x v="4"/>
    <x v="0"/>
  </r>
  <r>
    <x v="624"/>
    <x v="0"/>
    <x v="32"/>
    <n v="11.6"/>
    <n v="255.2"/>
    <x v="26"/>
    <x v="28"/>
    <x v="2"/>
    <x v="3"/>
    <x v="2"/>
    <x v="0"/>
    <x v="18"/>
    <n v="2"/>
    <x v="4"/>
    <x v="2"/>
  </r>
  <r>
    <x v="625"/>
    <x v="10"/>
    <x v="7"/>
    <n v="39.6"/>
    <n v="396"/>
    <x v="26"/>
    <x v="28"/>
    <x v="2"/>
    <x v="2"/>
    <x v="2"/>
    <x v="0"/>
    <x v="18"/>
    <n v="2"/>
    <x v="4"/>
    <x v="2"/>
  </r>
  <r>
    <x v="626"/>
    <x v="8"/>
    <x v="1"/>
    <n v="40.1"/>
    <n v="80.2"/>
    <x v="26"/>
    <x v="29"/>
    <x v="2"/>
    <x v="2"/>
    <x v="0"/>
    <x v="0"/>
    <x v="18"/>
    <n v="1"/>
    <x v="4"/>
    <x v="2"/>
  </r>
  <r>
    <x v="627"/>
    <x v="8"/>
    <x v="2"/>
    <n v="18.600000000000001"/>
    <n v="55.800000000000004"/>
    <x v="26"/>
    <x v="29"/>
    <x v="2"/>
    <x v="2"/>
    <x v="0"/>
    <x v="0"/>
    <x v="21"/>
    <n v="1"/>
    <x v="4"/>
    <x v="2"/>
  </r>
  <r>
    <x v="628"/>
    <x v="4"/>
    <x v="0"/>
    <n v="58.8"/>
    <n v="58.8"/>
    <x v="26"/>
    <x v="28"/>
    <x v="2"/>
    <x v="0"/>
    <x v="1"/>
    <x v="0"/>
    <x v="21"/>
    <n v="2"/>
    <x v="4"/>
    <x v="2"/>
  </r>
  <r>
    <x v="629"/>
    <x v="8"/>
    <x v="1"/>
    <n v="22.1"/>
    <n v="44.2"/>
    <x v="26"/>
    <x v="26"/>
    <x v="1"/>
    <x v="1"/>
    <x v="2"/>
    <x v="0"/>
    <x v="21"/>
    <n v="3"/>
    <x v="4"/>
    <x v="1"/>
  </r>
  <r>
    <x v="630"/>
    <x v="2"/>
    <x v="0"/>
    <n v="114.9"/>
    <n v="114.9"/>
    <x v="27"/>
    <x v="28"/>
    <x v="2"/>
    <x v="1"/>
    <x v="1"/>
    <x v="0"/>
    <x v="22"/>
    <n v="1"/>
    <x v="4"/>
    <x v="2"/>
  </r>
  <r>
    <x v="631"/>
    <x v="9"/>
    <x v="9"/>
    <n v="75.8"/>
    <n v="379"/>
    <x v="27"/>
    <x v="28"/>
    <x v="1"/>
    <x v="0"/>
    <x v="2"/>
    <x v="0"/>
    <x v="3"/>
    <n v="1"/>
    <x v="4"/>
    <x v="1"/>
  </r>
  <r>
    <x v="632"/>
    <x v="14"/>
    <x v="9"/>
    <n v="20.6"/>
    <n v="103"/>
    <x v="27"/>
    <x v="28"/>
    <x v="1"/>
    <x v="2"/>
    <x v="2"/>
    <x v="0"/>
    <x v="3"/>
    <n v="1"/>
    <x v="4"/>
    <x v="1"/>
  </r>
  <r>
    <x v="633"/>
    <x v="17"/>
    <x v="2"/>
    <n v="67.900000000000006"/>
    <n v="203.70000000000002"/>
    <x v="27"/>
    <x v="28"/>
    <x v="2"/>
    <x v="1"/>
    <x v="1"/>
    <x v="0"/>
    <x v="3"/>
    <n v="1"/>
    <x v="4"/>
    <x v="2"/>
  </r>
  <r>
    <x v="634"/>
    <x v="0"/>
    <x v="9"/>
    <n v="27"/>
    <n v="135"/>
    <x v="27"/>
    <x v="32"/>
    <x v="2"/>
    <x v="0"/>
    <x v="2"/>
    <x v="0"/>
    <x v="3"/>
    <n v="7"/>
    <x v="4"/>
    <x v="2"/>
  </r>
  <r>
    <x v="635"/>
    <x v="13"/>
    <x v="0"/>
    <n v="50.6"/>
    <n v="50.6"/>
    <x v="27"/>
    <x v="29"/>
    <x v="1"/>
    <x v="0"/>
    <x v="1"/>
    <x v="0"/>
    <x v="3"/>
    <n v="0"/>
    <x v="4"/>
    <x v="1"/>
  </r>
  <r>
    <x v="636"/>
    <x v="4"/>
    <x v="9"/>
    <n v="22.1"/>
    <n v="110.5"/>
    <x v="27"/>
    <x v="33"/>
    <x v="1"/>
    <x v="0"/>
    <x v="0"/>
    <x v="0"/>
    <x v="3"/>
    <n v="5"/>
    <x v="4"/>
    <x v="1"/>
  </r>
  <r>
    <x v="637"/>
    <x v="8"/>
    <x v="2"/>
    <n v="42.9"/>
    <n v="128.69999999999999"/>
    <x v="27"/>
    <x v="26"/>
    <x v="2"/>
    <x v="0"/>
    <x v="0"/>
    <x v="0"/>
    <x v="3"/>
    <n v="2"/>
    <x v="4"/>
    <x v="2"/>
  </r>
  <r>
    <x v="638"/>
    <x v="1"/>
    <x v="5"/>
    <n v="62.4"/>
    <n v="686.4"/>
    <x v="27"/>
    <x v="26"/>
    <x v="2"/>
    <x v="2"/>
    <x v="0"/>
    <x v="0"/>
    <x v="3"/>
    <n v="2"/>
    <x v="4"/>
    <x v="2"/>
  </r>
  <r>
    <x v="639"/>
    <x v="13"/>
    <x v="11"/>
    <n v="36.4"/>
    <n v="327.59999999999997"/>
    <x v="27"/>
    <x v="26"/>
    <x v="2"/>
    <x v="0"/>
    <x v="2"/>
    <x v="0"/>
    <x v="3"/>
    <n v="2"/>
    <x v="4"/>
    <x v="2"/>
  </r>
  <r>
    <x v="640"/>
    <x v="0"/>
    <x v="1"/>
    <n v="22.5"/>
    <n v="45"/>
    <x v="27"/>
    <x v="27"/>
    <x v="1"/>
    <x v="0"/>
    <x v="0"/>
    <x v="0"/>
    <x v="3"/>
    <n v="3"/>
    <x v="4"/>
    <x v="1"/>
  </r>
  <r>
    <x v="641"/>
    <x v="6"/>
    <x v="12"/>
    <n v="70.8"/>
    <n v="283.2"/>
    <x v="27"/>
    <x v="26"/>
    <x v="2"/>
    <x v="4"/>
    <x v="0"/>
    <x v="0"/>
    <x v="3"/>
    <n v="2"/>
    <x v="4"/>
    <x v="2"/>
  </r>
  <r>
    <x v="642"/>
    <x v="6"/>
    <x v="9"/>
    <n v="56.6"/>
    <n v="283"/>
    <x v="27"/>
    <x v="26"/>
    <x v="1"/>
    <x v="0"/>
    <x v="1"/>
    <x v="0"/>
    <x v="4"/>
    <n v="2"/>
    <x v="4"/>
    <x v="1"/>
  </r>
  <r>
    <x v="643"/>
    <x v="6"/>
    <x v="1"/>
    <n v="47.9"/>
    <n v="95.8"/>
    <x v="27"/>
    <x v="28"/>
    <x v="2"/>
    <x v="0"/>
    <x v="0"/>
    <x v="0"/>
    <x v="6"/>
    <n v="1"/>
    <x v="4"/>
    <x v="2"/>
  </r>
  <r>
    <x v="644"/>
    <x v="6"/>
    <x v="8"/>
    <n v="78.400000000000006"/>
    <n v="627.20000000000005"/>
    <x v="27"/>
    <x v="26"/>
    <x v="2"/>
    <x v="1"/>
    <x v="0"/>
    <x v="0"/>
    <x v="6"/>
    <n v="2"/>
    <x v="4"/>
    <x v="2"/>
  </r>
  <r>
    <x v="645"/>
    <x v="2"/>
    <x v="21"/>
    <n v="122.1"/>
    <n v="1709.3999999999999"/>
    <x v="27"/>
    <x v="33"/>
    <x v="2"/>
    <x v="0"/>
    <x v="2"/>
    <x v="0"/>
    <x v="6"/>
    <n v="5"/>
    <x v="4"/>
    <x v="2"/>
  </r>
  <r>
    <x v="646"/>
    <x v="2"/>
    <x v="1"/>
    <n v="83.7"/>
    <n v="167.4"/>
    <x v="28"/>
    <x v="28"/>
    <x v="0"/>
    <x v="1"/>
    <x v="2"/>
    <x v="0"/>
    <x v="7"/>
    <n v="0"/>
    <x v="4"/>
    <x v="0"/>
  </r>
  <r>
    <x v="647"/>
    <x v="3"/>
    <x v="12"/>
    <n v="97.9"/>
    <n v="391.6"/>
    <x v="28"/>
    <x v="33"/>
    <x v="2"/>
    <x v="3"/>
    <x v="2"/>
    <x v="0"/>
    <x v="7"/>
    <n v="4"/>
    <x v="4"/>
    <x v="2"/>
  </r>
  <r>
    <x v="648"/>
    <x v="14"/>
    <x v="0"/>
    <n v="15"/>
    <n v="15"/>
    <x v="28"/>
    <x v="34"/>
    <x v="2"/>
    <x v="3"/>
    <x v="0"/>
    <x v="0"/>
    <x v="8"/>
    <n v="5"/>
    <x v="4"/>
    <x v="2"/>
  </r>
  <r>
    <x v="649"/>
    <x v="12"/>
    <x v="2"/>
    <n v="94.6"/>
    <n v="283.79999999999995"/>
    <x v="28"/>
    <x v="26"/>
    <x v="1"/>
    <x v="2"/>
    <x v="1"/>
    <x v="0"/>
    <x v="8"/>
    <n v="1"/>
    <x v="4"/>
    <x v="1"/>
  </r>
  <r>
    <x v="650"/>
    <x v="0"/>
    <x v="13"/>
    <n v="19.7"/>
    <n v="118.19999999999999"/>
    <x v="28"/>
    <x v="35"/>
    <x v="2"/>
    <x v="0"/>
    <x v="2"/>
    <x v="0"/>
    <x v="8"/>
    <n v="11"/>
    <x v="4"/>
    <x v="2"/>
  </r>
  <r>
    <x v="651"/>
    <x v="7"/>
    <x v="0"/>
    <n v="46.7"/>
    <n v="46.7"/>
    <x v="28"/>
    <x v="30"/>
    <x v="2"/>
    <x v="2"/>
    <x v="0"/>
    <x v="0"/>
    <x v="17"/>
    <n v="3"/>
    <x v="4"/>
    <x v="2"/>
  </r>
  <r>
    <x v="652"/>
    <x v="1"/>
    <x v="12"/>
    <n v="43"/>
    <n v="172"/>
    <x v="28"/>
    <x v="26"/>
    <x v="1"/>
    <x v="2"/>
    <x v="2"/>
    <x v="0"/>
    <x v="17"/>
    <n v="1"/>
    <x v="4"/>
    <x v="1"/>
  </r>
  <r>
    <x v="653"/>
    <x v="6"/>
    <x v="2"/>
    <n v="68.2"/>
    <n v="204.60000000000002"/>
    <x v="28"/>
    <x v="32"/>
    <x v="2"/>
    <x v="0"/>
    <x v="0"/>
    <x v="0"/>
    <x v="9"/>
    <n v="6"/>
    <x v="4"/>
    <x v="2"/>
  </r>
  <r>
    <x v="654"/>
    <x v="10"/>
    <x v="7"/>
    <n v="24.3"/>
    <n v="243"/>
    <x v="28"/>
    <x v="26"/>
    <x v="1"/>
    <x v="0"/>
    <x v="2"/>
    <x v="0"/>
    <x v="10"/>
    <n v="1"/>
    <x v="4"/>
    <x v="1"/>
  </r>
  <r>
    <x v="655"/>
    <x v="7"/>
    <x v="1"/>
    <n v="86.8"/>
    <n v="173.6"/>
    <x v="28"/>
    <x v="33"/>
    <x v="2"/>
    <x v="4"/>
    <x v="2"/>
    <x v="0"/>
    <x v="11"/>
    <n v="4"/>
    <x v="4"/>
    <x v="2"/>
  </r>
  <r>
    <x v="656"/>
    <x v="0"/>
    <x v="1"/>
    <n v="15.8"/>
    <n v="31.6"/>
    <x v="28"/>
    <x v="27"/>
    <x v="1"/>
    <x v="1"/>
    <x v="0"/>
    <x v="0"/>
    <x v="11"/>
    <n v="2"/>
    <x v="4"/>
    <x v="1"/>
  </r>
  <r>
    <x v="657"/>
    <x v="2"/>
    <x v="12"/>
    <n v="61.6"/>
    <n v="246.4"/>
    <x v="28"/>
    <x v="26"/>
    <x v="1"/>
    <x v="2"/>
    <x v="0"/>
    <x v="0"/>
    <x v="11"/>
    <n v="1"/>
    <x v="4"/>
    <x v="1"/>
  </r>
  <r>
    <x v="658"/>
    <x v="6"/>
    <x v="2"/>
    <n v="48.7"/>
    <n v="146.10000000000002"/>
    <x v="28"/>
    <x v="32"/>
    <x v="2"/>
    <x v="1"/>
    <x v="2"/>
    <x v="0"/>
    <x v="45"/>
    <n v="6"/>
    <x v="4"/>
    <x v="2"/>
  </r>
  <r>
    <x v="659"/>
    <x v="8"/>
    <x v="12"/>
    <n v="24.3"/>
    <n v="97.2"/>
    <x v="28"/>
    <x v="27"/>
    <x v="2"/>
    <x v="1"/>
    <x v="2"/>
    <x v="0"/>
    <x v="21"/>
    <n v="2"/>
    <x v="4"/>
    <x v="2"/>
  </r>
  <r>
    <x v="660"/>
    <x v="2"/>
    <x v="1"/>
    <n v="130.69999999999999"/>
    <n v="261.39999999999998"/>
    <x v="28"/>
    <x v="26"/>
    <x v="2"/>
    <x v="2"/>
    <x v="0"/>
    <x v="0"/>
    <x v="44"/>
    <n v="1"/>
    <x v="4"/>
    <x v="2"/>
  </r>
  <r>
    <x v="661"/>
    <x v="10"/>
    <x v="0"/>
    <n v="26"/>
    <n v="26"/>
    <x v="28"/>
    <x v="27"/>
    <x v="1"/>
    <x v="0"/>
    <x v="0"/>
    <x v="0"/>
    <x v="3"/>
    <n v="2"/>
    <x v="4"/>
    <x v="1"/>
  </r>
  <r>
    <x v="662"/>
    <x v="2"/>
    <x v="9"/>
    <n v="94.4"/>
    <n v="472"/>
    <x v="28"/>
    <x v="26"/>
    <x v="2"/>
    <x v="0"/>
    <x v="0"/>
    <x v="0"/>
    <x v="3"/>
    <n v="1"/>
    <x v="4"/>
    <x v="2"/>
  </r>
  <r>
    <x v="663"/>
    <x v="0"/>
    <x v="13"/>
    <n v="23.7"/>
    <n v="142.19999999999999"/>
    <x v="28"/>
    <x v="27"/>
    <x v="1"/>
    <x v="2"/>
    <x v="2"/>
    <x v="0"/>
    <x v="3"/>
    <n v="2"/>
    <x v="4"/>
    <x v="1"/>
  </r>
  <r>
    <x v="664"/>
    <x v="9"/>
    <x v="4"/>
    <n v="37.4"/>
    <n v="448.79999999999995"/>
    <x v="28"/>
    <x v="27"/>
    <x v="1"/>
    <x v="2"/>
    <x v="0"/>
    <x v="0"/>
    <x v="3"/>
    <n v="2"/>
    <x v="4"/>
    <x v="1"/>
  </r>
  <r>
    <x v="665"/>
    <x v="1"/>
    <x v="34"/>
    <n v="55.2"/>
    <n v="1987.2"/>
    <x v="28"/>
    <x v="28"/>
    <x v="2"/>
    <x v="3"/>
    <x v="1"/>
    <x v="0"/>
    <x v="3"/>
    <n v="0"/>
    <x v="4"/>
    <x v="2"/>
  </r>
  <r>
    <x v="666"/>
    <x v="2"/>
    <x v="11"/>
    <n v="57.1"/>
    <n v="513.9"/>
    <x v="28"/>
    <x v="27"/>
    <x v="1"/>
    <x v="0"/>
    <x v="2"/>
    <x v="0"/>
    <x v="3"/>
    <n v="2"/>
    <x v="4"/>
    <x v="1"/>
  </r>
  <r>
    <x v="667"/>
    <x v="12"/>
    <x v="0"/>
    <n v="55.3"/>
    <n v="55.3"/>
    <x v="28"/>
    <x v="26"/>
    <x v="2"/>
    <x v="2"/>
    <x v="2"/>
    <x v="0"/>
    <x v="3"/>
    <n v="1"/>
    <x v="4"/>
    <x v="2"/>
  </r>
  <r>
    <x v="668"/>
    <x v="15"/>
    <x v="3"/>
    <n v="23.9"/>
    <n v="167.29999999999998"/>
    <x v="28"/>
    <x v="26"/>
    <x v="2"/>
    <x v="4"/>
    <x v="1"/>
    <x v="0"/>
    <x v="3"/>
    <n v="1"/>
    <x v="4"/>
    <x v="2"/>
  </r>
  <r>
    <x v="669"/>
    <x v="0"/>
    <x v="0"/>
    <n v="34.1"/>
    <n v="34.1"/>
    <x v="28"/>
    <x v="36"/>
    <x v="2"/>
    <x v="2"/>
    <x v="0"/>
    <x v="0"/>
    <x v="3"/>
    <n v="7"/>
    <x v="4"/>
    <x v="2"/>
  </r>
  <r>
    <x v="670"/>
    <x v="12"/>
    <x v="12"/>
    <n v="38.5"/>
    <n v="154"/>
    <x v="28"/>
    <x v="35"/>
    <x v="2"/>
    <x v="0"/>
    <x v="0"/>
    <x v="0"/>
    <x v="3"/>
    <n v="11"/>
    <x v="4"/>
    <x v="2"/>
  </r>
  <r>
    <x v="671"/>
    <x v="7"/>
    <x v="1"/>
    <n v="105"/>
    <n v="210"/>
    <x v="28"/>
    <x v="32"/>
    <x v="2"/>
    <x v="0"/>
    <x v="2"/>
    <x v="0"/>
    <x v="3"/>
    <n v="6"/>
    <x v="4"/>
    <x v="2"/>
  </r>
  <r>
    <x v="672"/>
    <x v="8"/>
    <x v="9"/>
    <n v="45.2"/>
    <n v="226"/>
    <x v="28"/>
    <x v="27"/>
    <x v="2"/>
    <x v="0"/>
    <x v="2"/>
    <x v="0"/>
    <x v="3"/>
    <n v="2"/>
    <x v="4"/>
    <x v="2"/>
  </r>
  <r>
    <x v="673"/>
    <x v="17"/>
    <x v="2"/>
    <n v="24.8"/>
    <n v="74.400000000000006"/>
    <x v="28"/>
    <x v="28"/>
    <x v="0"/>
    <x v="0"/>
    <x v="1"/>
    <x v="0"/>
    <x v="3"/>
    <n v="0"/>
    <x v="4"/>
    <x v="0"/>
  </r>
  <r>
    <x v="674"/>
    <x v="11"/>
    <x v="12"/>
    <n v="43.8"/>
    <n v="175.2"/>
    <x v="28"/>
    <x v="36"/>
    <x v="2"/>
    <x v="1"/>
    <x v="2"/>
    <x v="0"/>
    <x v="6"/>
    <n v="7"/>
    <x v="4"/>
    <x v="2"/>
  </r>
  <r>
    <x v="675"/>
    <x v="1"/>
    <x v="0"/>
    <n v="75"/>
    <n v="75"/>
    <x v="28"/>
    <x v="27"/>
    <x v="2"/>
    <x v="4"/>
    <x v="1"/>
    <x v="0"/>
    <x v="6"/>
    <n v="2"/>
    <x v="4"/>
    <x v="2"/>
  </r>
  <r>
    <x v="676"/>
    <x v="2"/>
    <x v="0"/>
    <n v="169.9"/>
    <n v="169.9"/>
    <x v="28"/>
    <x v="26"/>
    <x v="1"/>
    <x v="2"/>
    <x v="0"/>
    <x v="0"/>
    <x v="6"/>
    <n v="1"/>
    <x v="4"/>
    <x v="1"/>
  </r>
  <r>
    <x v="677"/>
    <x v="9"/>
    <x v="1"/>
    <n v="72.2"/>
    <n v="144.4"/>
    <x v="28"/>
    <x v="27"/>
    <x v="2"/>
    <x v="4"/>
    <x v="1"/>
    <x v="0"/>
    <x v="6"/>
    <n v="2"/>
    <x v="4"/>
    <x v="2"/>
  </r>
  <r>
    <x v="678"/>
    <x v="0"/>
    <x v="0"/>
    <n v="20"/>
    <n v="20"/>
    <x v="29"/>
    <x v="33"/>
    <x v="2"/>
    <x v="2"/>
    <x v="1"/>
    <x v="0"/>
    <x v="7"/>
    <n v="3"/>
    <x v="4"/>
    <x v="2"/>
  </r>
  <r>
    <x v="679"/>
    <x v="9"/>
    <x v="1"/>
    <n v="40.799999999999997"/>
    <n v="81.599999999999994"/>
    <x v="29"/>
    <x v="30"/>
    <x v="2"/>
    <x v="3"/>
    <x v="2"/>
    <x v="0"/>
    <x v="8"/>
    <n v="2"/>
    <x v="4"/>
    <x v="2"/>
  </r>
  <r>
    <x v="680"/>
    <x v="10"/>
    <x v="12"/>
    <n v="58"/>
    <n v="232"/>
    <x v="29"/>
    <x v="34"/>
    <x v="2"/>
    <x v="0"/>
    <x v="0"/>
    <x v="0"/>
    <x v="8"/>
    <n v="4"/>
    <x v="4"/>
    <x v="2"/>
  </r>
  <r>
    <x v="681"/>
    <x v="12"/>
    <x v="1"/>
    <n v="43.1"/>
    <n v="86.2"/>
    <x v="29"/>
    <x v="27"/>
    <x v="2"/>
    <x v="1"/>
    <x v="2"/>
    <x v="0"/>
    <x v="8"/>
    <n v="1"/>
    <x v="4"/>
    <x v="2"/>
  </r>
  <r>
    <x v="682"/>
    <x v="6"/>
    <x v="11"/>
    <n v="74.7"/>
    <n v="672.30000000000007"/>
    <x v="29"/>
    <x v="30"/>
    <x v="1"/>
    <x v="0"/>
    <x v="2"/>
    <x v="0"/>
    <x v="8"/>
    <n v="2"/>
    <x v="4"/>
    <x v="1"/>
  </r>
  <r>
    <x v="683"/>
    <x v="6"/>
    <x v="0"/>
    <n v="128.19999999999999"/>
    <n v="128.19999999999999"/>
    <x v="29"/>
    <x v="26"/>
    <x v="1"/>
    <x v="1"/>
    <x v="0"/>
    <x v="0"/>
    <x v="8"/>
    <n v="0"/>
    <x v="4"/>
    <x v="1"/>
  </r>
  <r>
    <x v="684"/>
    <x v="14"/>
    <x v="12"/>
    <n v="26.7"/>
    <n v="106.8"/>
    <x v="29"/>
    <x v="27"/>
    <x v="1"/>
    <x v="1"/>
    <x v="0"/>
    <x v="0"/>
    <x v="8"/>
    <n v="1"/>
    <x v="4"/>
    <x v="1"/>
  </r>
  <r>
    <x v="685"/>
    <x v="17"/>
    <x v="13"/>
    <n v="31.5"/>
    <n v="189"/>
    <x v="29"/>
    <x v="27"/>
    <x v="2"/>
    <x v="2"/>
    <x v="0"/>
    <x v="0"/>
    <x v="17"/>
    <n v="1"/>
    <x v="4"/>
    <x v="2"/>
  </r>
  <r>
    <x v="686"/>
    <x v="3"/>
    <x v="3"/>
    <n v="64.7"/>
    <n v="452.90000000000003"/>
    <x v="29"/>
    <x v="27"/>
    <x v="2"/>
    <x v="0"/>
    <x v="2"/>
    <x v="0"/>
    <x v="9"/>
    <n v="1"/>
    <x v="4"/>
    <x v="2"/>
  </r>
  <r>
    <x v="687"/>
    <x v="5"/>
    <x v="1"/>
    <n v="55.6"/>
    <n v="111.2"/>
    <x v="29"/>
    <x v="33"/>
    <x v="2"/>
    <x v="3"/>
    <x v="0"/>
    <x v="0"/>
    <x v="11"/>
    <n v="3"/>
    <x v="4"/>
    <x v="2"/>
  </r>
  <r>
    <x v="688"/>
    <x v="3"/>
    <x v="1"/>
    <n v="36.200000000000003"/>
    <n v="72.400000000000006"/>
    <x v="29"/>
    <x v="27"/>
    <x v="2"/>
    <x v="3"/>
    <x v="0"/>
    <x v="0"/>
    <x v="11"/>
    <n v="1"/>
    <x v="4"/>
    <x v="2"/>
  </r>
  <r>
    <x v="689"/>
    <x v="0"/>
    <x v="0"/>
    <n v="26.6"/>
    <n v="26.6"/>
    <x v="29"/>
    <x v="27"/>
    <x v="0"/>
    <x v="1"/>
    <x v="1"/>
    <x v="0"/>
    <x v="19"/>
    <n v="1"/>
    <x v="4"/>
    <x v="0"/>
  </r>
  <r>
    <x v="690"/>
    <x v="10"/>
    <x v="12"/>
    <n v="31.5"/>
    <n v="126"/>
    <x v="29"/>
    <x v="30"/>
    <x v="1"/>
    <x v="0"/>
    <x v="0"/>
    <x v="0"/>
    <x v="31"/>
    <n v="2"/>
    <x v="4"/>
    <x v="1"/>
  </r>
  <r>
    <x v="691"/>
    <x v="10"/>
    <x v="0"/>
    <n v="27"/>
    <n v="27"/>
    <x v="29"/>
    <x v="30"/>
    <x v="2"/>
    <x v="1"/>
    <x v="2"/>
    <x v="0"/>
    <x v="13"/>
    <n v="2"/>
    <x v="4"/>
    <x v="2"/>
  </r>
  <r>
    <x v="692"/>
    <x v="4"/>
    <x v="0"/>
    <n v="32"/>
    <n v="32"/>
    <x v="29"/>
    <x v="33"/>
    <x v="1"/>
    <x v="3"/>
    <x v="0"/>
    <x v="0"/>
    <x v="21"/>
    <n v="3"/>
    <x v="4"/>
    <x v="1"/>
  </r>
  <r>
    <x v="693"/>
    <x v="1"/>
    <x v="2"/>
    <n v="48.1"/>
    <n v="144.30000000000001"/>
    <x v="29"/>
    <x v="30"/>
    <x v="1"/>
    <x v="2"/>
    <x v="1"/>
    <x v="0"/>
    <x v="1"/>
    <n v="2"/>
    <x v="4"/>
    <x v="1"/>
  </r>
  <r>
    <x v="694"/>
    <x v="9"/>
    <x v="1"/>
    <n v="43.4"/>
    <n v="86.8"/>
    <x v="29"/>
    <x v="27"/>
    <x v="1"/>
    <x v="1"/>
    <x v="1"/>
    <x v="0"/>
    <x v="22"/>
    <n v="1"/>
    <x v="4"/>
    <x v="1"/>
  </r>
  <r>
    <x v="695"/>
    <x v="6"/>
    <x v="1"/>
    <n v="42.6"/>
    <n v="85.2"/>
    <x v="29"/>
    <x v="33"/>
    <x v="2"/>
    <x v="3"/>
    <x v="0"/>
    <x v="0"/>
    <x v="22"/>
    <n v="3"/>
    <x v="4"/>
    <x v="2"/>
  </r>
  <r>
    <x v="696"/>
    <x v="8"/>
    <x v="1"/>
    <n v="15.9"/>
    <n v="31.8"/>
    <x v="29"/>
    <x v="27"/>
    <x v="2"/>
    <x v="0"/>
    <x v="0"/>
    <x v="0"/>
    <x v="34"/>
    <n v="1"/>
    <x v="4"/>
    <x v="2"/>
  </r>
  <r>
    <x v="697"/>
    <x v="9"/>
    <x v="1"/>
    <n v="63.2"/>
    <n v="126.4"/>
    <x v="29"/>
    <x v="27"/>
    <x v="1"/>
    <x v="1"/>
    <x v="0"/>
    <x v="0"/>
    <x v="3"/>
    <n v="1"/>
    <x v="4"/>
    <x v="1"/>
  </r>
  <r>
    <x v="698"/>
    <x v="7"/>
    <x v="12"/>
    <n v="64.8"/>
    <n v="259.2"/>
    <x v="29"/>
    <x v="30"/>
    <x v="0"/>
    <x v="4"/>
    <x v="1"/>
    <x v="0"/>
    <x v="3"/>
    <n v="2"/>
    <x v="4"/>
    <x v="0"/>
  </r>
  <r>
    <x v="699"/>
    <x v="7"/>
    <x v="2"/>
    <n v="79.8"/>
    <n v="239.39999999999998"/>
    <x v="29"/>
    <x v="27"/>
    <x v="1"/>
    <x v="0"/>
    <x v="0"/>
    <x v="0"/>
    <x v="3"/>
    <n v="1"/>
    <x v="4"/>
    <x v="1"/>
  </r>
  <r>
    <x v="700"/>
    <x v="9"/>
    <x v="0"/>
    <n v="54.4"/>
    <n v="54.4"/>
    <x v="29"/>
    <x v="30"/>
    <x v="2"/>
    <x v="4"/>
    <x v="2"/>
    <x v="0"/>
    <x v="3"/>
    <n v="2"/>
    <x v="4"/>
    <x v="2"/>
  </r>
  <r>
    <x v="701"/>
    <x v="6"/>
    <x v="0"/>
    <n v="87.3"/>
    <n v="87.3"/>
    <x v="29"/>
    <x v="27"/>
    <x v="1"/>
    <x v="1"/>
    <x v="0"/>
    <x v="0"/>
    <x v="3"/>
    <n v="1"/>
    <x v="4"/>
    <x v="1"/>
  </r>
  <r>
    <x v="702"/>
    <x v="8"/>
    <x v="12"/>
    <n v="32.4"/>
    <n v="129.6"/>
    <x v="29"/>
    <x v="26"/>
    <x v="1"/>
    <x v="1"/>
    <x v="0"/>
    <x v="0"/>
    <x v="3"/>
    <n v="0"/>
    <x v="4"/>
    <x v="1"/>
  </r>
  <r>
    <x v="703"/>
    <x v="2"/>
    <x v="0"/>
    <n v="177.4"/>
    <n v="177.4"/>
    <x v="29"/>
    <x v="34"/>
    <x v="1"/>
    <x v="0"/>
    <x v="2"/>
    <x v="0"/>
    <x v="3"/>
    <n v="4"/>
    <x v="4"/>
    <x v="1"/>
  </r>
  <r>
    <x v="704"/>
    <x v="7"/>
    <x v="1"/>
    <n v="70.099999999999994"/>
    <n v="140.19999999999999"/>
    <x v="29"/>
    <x v="27"/>
    <x v="1"/>
    <x v="3"/>
    <x v="1"/>
    <x v="0"/>
    <x v="3"/>
    <n v="1"/>
    <x v="4"/>
    <x v="1"/>
  </r>
  <r>
    <x v="705"/>
    <x v="9"/>
    <x v="13"/>
    <n v="51.1"/>
    <n v="306.60000000000002"/>
    <x v="29"/>
    <x v="27"/>
    <x v="2"/>
    <x v="0"/>
    <x v="0"/>
    <x v="0"/>
    <x v="3"/>
    <n v="1"/>
    <x v="4"/>
    <x v="2"/>
  </r>
  <r>
    <x v="706"/>
    <x v="2"/>
    <x v="9"/>
    <n v="79.900000000000006"/>
    <n v="399.5"/>
    <x v="29"/>
    <x v="30"/>
    <x v="1"/>
    <x v="3"/>
    <x v="2"/>
    <x v="0"/>
    <x v="24"/>
    <n v="2"/>
    <x v="4"/>
    <x v="1"/>
  </r>
  <r>
    <x v="707"/>
    <x v="6"/>
    <x v="0"/>
    <n v="57.6"/>
    <n v="57.6"/>
    <x v="30"/>
    <x v="36"/>
    <x v="1"/>
    <x v="0"/>
    <x v="2"/>
    <x v="0"/>
    <x v="49"/>
    <n v="5"/>
    <x v="4"/>
    <x v="1"/>
  </r>
  <r>
    <x v="708"/>
    <x v="8"/>
    <x v="7"/>
    <n v="59.7"/>
    <n v="597"/>
    <x v="30"/>
    <x v="32"/>
    <x v="1"/>
    <x v="2"/>
    <x v="0"/>
    <x v="0"/>
    <x v="25"/>
    <n v="4"/>
    <x v="4"/>
    <x v="1"/>
  </r>
  <r>
    <x v="709"/>
    <x v="8"/>
    <x v="9"/>
    <n v="30"/>
    <n v="150"/>
    <x v="30"/>
    <x v="33"/>
    <x v="1"/>
    <x v="1"/>
    <x v="0"/>
    <x v="0"/>
    <x v="6"/>
    <n v="2"/>
    <x v="4"/>
    <x v="1"/>
  </r>
  <r>
    <x v="710"/>
    <x v="10"/>
    <x v="1"/>
    <n v="69.2"/>
    <n v="138.4"/>
    <x v="30"/>
    <x v="33"/>
    <x v="0"/>
    <x v="2"/>
    <x v="1"/>
    <x v="0"/>
    <x v="6"/>
    <n v="2"/>
    <x v="4"/>
    <x v="0"/>
  </r>
  <r>
    <x v="711"/>
    <x v="0"/>
    <x v="8"/>
    <n v="10.9"/>
    <n v="87.2"/>
    <x v="30"/>
    <x v="30"/>
    <x v="2"/>
    <x v="0"/>
    <x v="2"/>
    <x v="0"/>
    <x v="6"/>
    <n v="1"/>
    <x v="4"/>
    <x v="2"/>
  </r>
  <r>
    <x v="712"/>
    <x v="16"/>
    <x v="1"/>
    <n v="48.6"/>
    <n v="97.2"/>
    <x v="30"/>
    <x v="32"/>
    <x v="1"/>
    <x v="1"/>
    <x v="2"/>
    <x v="0"/>
    <x v="6"/>
    <n v="4"/>
    <x v="4"/>
    <x v="1"/>
  </r>
  <r>
    <x v="713"/>
    <x v="2"/>
    <x v="1"/>
    <n v="61.1"/>
    <n v="122.2"/>
    <x v="30"/>
    <x v="34"/>
    <x v="2"/>
    <x v="1"/>
    <x v="2"/>
    <x v="0"/>
    <x v="7"/>
    <n v="3"/>
    <x v="4"/>
    <x v="2"/>
  </r>
  <r>
    <x v="714"/>
    <x v="8"/>
    <x v="1"/>
    <n v="23.2"/>
    <n v="46.4"/>
    <x v="30"/>
    <x v="30"/>
    <x v="1"/>
    <x v="3"/>
    <x v="2"/>
    <x v="0"/>
    <x v="8"/>
    <n v="1"/>
    <x v="4"/>
    <x v="1"/>
  </r>
  <r>
    <x v="715"/>
    <x v="12"/>
    <x v="12"/>
    <n v="55.8"/>
    <n v="223.2"/>
    <x v="30"/>
    <x v="30"/>
    <x v="1"/>
    <x v="0"/>
    <x v="0"/>
    <x v="0"/>
    <x v="8"/>
    <n v="1"/>
    <x v="4"/>
    <x v="1"/>
  </r>
  <r>
    <x v="716"/>
    <x v="9"/>
    <x v="12"/>
    <n v="24.8"/>
    <n v="99.2"/>
    <x v="30"/>
    <x v="30"/>
    <x v="2"/>
    <x v="0"/>
    <x v="2"/>
    <x v="0"/>
    <x v="8"/>
    <n v="1"/>
    <x v="4"/>
    <x v="2"/>
  </r>
  <r>
    <x v="717"/>
    <x v="10"/>
    <x v="1"/>
    <n v="27.9"/>
    <n v="55.8"/>
    <x v="30"/>
    <x v="27"/>
    <x v="1"/>
    <x v="2"/>
    <x v="2"/>
    <x v="0"/>
    <x v="8"/>
    <n v="0"/>
    <x v="4"/>
    <x v="1"/>
  </r>
  <r>
    <x v="718"/>
    <x v="10"/>
    <x v="13"/>
    <n v="51.1"/>
    <n v="306.60000000000002"/>
    <x v="30"/>
    <x v="27"/>
    <x v="2"/>
    <x v="3"/>
    <x v="0"/>
    <x v="0"/>
    <x v="8"/>
    <n v="0"/>
    <x v="4"/>
    <x v="2"/>
  </r>
  <r>
    <x v="719"/>
    <x v="17"/>
    <x v="5"/>
    <n v="32.700000000000003"/>
    <n v="359.70000000000005"/>
    <x v="30"/>
    <x v="30"/>
    <x v="1"/>
    <x v="4"/>
    <x v="2"/>
    <x v="0"/>
    <x v="17"/>
    <n v="1"/>
    <x v="4"/>
    <x v="1"/>
  </r>
  <r>
    <x v="720"/>
    <x v="8"/>
    <x v="12"/>
    <n v="22.5"/>
    <n v="90"/>
    <x v="30"/>
    <x v="27"/>
    <x v="1"/>
    <x v="0"/>
    <x v="2"/>
    <x v="0"/>
    <x v="26"/>
    <n v="0"/>
    <x v="4"/>
    <x v="1"/>
  </r>
  <r>
    <x v="721"/>
    <x v="0"/>
    <x v="3"/>
    <n v="14.6"/>
    <n v="102.2"/>
    <x v="30"/>
    <x v="30"/>
    <x v="2"/>
    <x v="2"/>
    <x v="0"/>
    <x v="0"/>
    <x v="41"/>
    <n v="1"/>
    <x v="4"/>
    <x v="2"/>
  </r>
  <r>
    <x v="722"/>
    <x v="5"/>
    <x v="2"/>
    <n v="32.5"/>
    <n v="97.5"/>
    <x v="30"/>
    <x v="34"/>
    <x v="1"/>
    <x v="0"/>
    <x v="0"/>
    <x v="0"/>
    <x v="10"/>
    <n v="3"/>
    <x v="4"/>
    <x v="1"/>
  </r>
  <r>
    <x v="723"/>
    <x v="18"/>
    <x v="0"/>
    <n v="78.099999999999994"/>
    <n v="78.099999999999994"/>
    <x v="30"/>
    <x v="34"/>
    <x v="1"/>
    <x v="0"/>
    <x v="2"/>
    <x v="0"/>
    <x v="11"/>
    <n v="3"/>
    <x v="4"/>
    <x v="1"/>
  </r>
  <r>
    <x v="724"/>
    <x v="12"/>
    <x v="13"/>
    <n v="110.2"/>
    <n v="661.2"/>
    <x v="30"/>
    <x v="27"/>
    <x v="1"/>
    <x v="1"/>
    <x v="4"/>
    <x v="0"/>
    <x v="13"/>
    <n v="0"/>
    <x v="4"/>
    <x v="1"/>
  </r>
  <r>
    <x v="725"/>
    <x v="6"/>
    <x v="2"/>
    <n v="86.3"/>
    <n v="258.89999999999998"/>
    <x v="30"/>
    <x v="33"/>
    <x v="2"/>
    <x v="3"/>
    <x v="0"/>
    <x v="0"/>
    <x v="21"/>
    <n v="2"/>
    <x v="4"/>
    <x v="2"/>
  </r>
  <r>
    <x v="726"/>
    <x v="1"/>
    <x v="13"/>
    <n v="73.599999999999994"/>
    <n v="441.59999999999997"/>
    <x v="30"/>
    <x v="33"/>
    <x v="3"/>
    <x v="3"/>
    <x v="4"/>
    <x v="0"/>
    <x v="44"/>
    <n v="2"/>
    <x v="4"/>
    <x v="3"/>
  </r>
  <r>
    <x v="727"/>
    <x v="6"/>
    <x v="15"/>
    <n v="67.7"/>
    <n v="880.1"/>
    <x v="30"/>
    <x v="33"/>
    <x v="2"/>
    <x v="0"/>
    <x v="2"/>
    <x v="0"/>
    <x v="3"/>
    <n v="2"/>
    <x v="4"/>
    <x v="2"/>
  </r>
  <r>
    <x v="728"/>
    <x v="7"/>
    <x v="13"/>
    <n v="142.19999999999999"/>
    <n v="853.19999999999993"/>
    <x v="30"/>
    <x v="30"/>
    <x v="2"/>
    <x v="2"/>
    <x v="4"/>
    <x v="0"/>
    <x v="3"/>
    <n v="1"/>
    <x v="4"/>
    <x v="2"/>
  </r>
  <r>
    <x v="729"/>
    <x v="1"/>
    <x v="11"/>
    <n v="45.8"/>
    <n v="412.2"/>
    <x v="30"/>
    <x v="33"/>
    <x v="2"/>
    <x v="1"/>
    <x v="2"/>
    <x v="0"/>
    <x v="3"/>
    <n v="2"/>
    <x v="4"/>
    <x v="2"/>
  </r>
  <r>
    <x v="730"/>
    <x v="10"/>
    <x v="1"/>
    <n v="24.2"/>
    <n v="48.4"/>
    <x v="31"/>
    <x v="32"/>
    <x v="2"/>
    <x v="3"/>
    <x v="2"/>
    <x v="0"/>
    <x v="3"/>
    <n v="3"/>
    <x v="4"/>
    <x v="2"/>
  </r>
  <r>
    <x v="731"/>
    <x v="2"/>
    <x v="2"/>
    <n v="144.9"/>
    <n v="434.70000000000005"/>
    <x v="31"/>
    <x v="33"/>
    <x v="3"/>
    <x v="2"/>
    <x v="2"/>
    <x v="0"/>
    <x v="3"/>
    <n v="1"/>
    <x v="4"/>
    <x v="3"/>
  </r>
  <r>
    <x v="732"/>
    <x v="11"/>
    <x v="9"/>
    <n v="32.799999999999997"/>
    <n v="164"/>
    <x v="31"/>
    <x v="32"/>
    <x v="2"/>
    <x v="2"/>
    <x v="0"/>
    <x v="0"/>
    <x v="23"/>
    <n v="3"/>
    <x v="4"/>
    <x v="2"/>
  </r>
  <r>
    <x v="733"/>
    <x v="7"/>
    <x v="7"/>
    <n v="35.700000000000003"/>
    <n v="357"/>
    <x v="31"/>
    <x v="30"/>
    <x v="2"/>
    <x v="0"/>
    <x v="1"/>
    <x v="0"/>
    <x v="6"/>
    <n v="0"/>
    <x v="4"/>
    <x v="2"/>
  </r>
  <r>
    <x v="734"/>
    <x v="9"/>
    <x v="1"/>
    <n v="54.6"/>
    <n v="109.2"/>
    <x v="31"/>
    <x v="33"/>
    <x v="2"/>
    <x v="2"/>
    <x v="0"/>
    <x v="0"/>
    <x v="6"/>
    <n v="1"/>
    <x v="4"/>
    <x v="2"/>
  </r>
  <r>
    <x v="735"/>
    <x v="8"/>
    <x v="1"/>
    <n v="35.700000000000003"/>
    <n v="71.400000000000006"/>
    <x v="31"/>
    <x v="32"/>
    <x v="0"/>
    <x v="0"/>
    <x v="1"/>
    <x v="0"/>
    <x v="6"/>
    <n v="3"/>
    <x v="4"/>
    <x v="0"/>
  </r>
  <r>
    <x v="736"/>
    <x v="10"/>
    <x v="1"/>
    <n v="52.4"/>
    <n v="104.8"/>
    <x v="31"/>
    <x v="30"/>
    <x v="2"/>
    <x v="0"/>
    <x v="3"/>
    <x v="0"/>
    <x v="6"/>
    <n v="0"/>
    <x v="4"/>
    <x v="2"/>
  </r>
  <r>
    <x v="737"/>
    <x v="8"/>
    <x v="21"/>
    <n v="16.2"/>
    <n v="226.79999999999998"/>
    <x v="31"/>
    <x v="33"/>
    <x v="0"/>
    <x v="0"/>
    <x v="1"/>
    <x v="0"/>
    <x v="8"/>
    <n v="1"/>
    <x v="4"/>
    <x v="0"/>
  </r>
  <r>
    <x v="738"/>
    <x v="6"/>
    <x v="35"/>
    <n v="42.8"/>
    <n v="2011.6"/>
    <x v="31"/>
    <x v="33"/>
    <x v="2"/>
    <x v="0"/>
    <x v="0"/>
    <x v="0"/>
    <x v="8"/>
    <n v="1"/>
    <x v="4"/>
    <x v="2"/>
  </r>
  <r>
    <x v="739"/>
    <x v="6"/>
    <x v="11"/>
    <n v="144.4"/>
    <n v="1299.6000000000001"/>
    <x v="31"/>
    <x v="32"/>
    <x v="2"/>
    <x v="4"/>
    <x v="0"/>
    <x v="0"/>
    <x v="8"/>
    <n v="3"/>
    <x v="4"/>
    <x v="2"/>
  </r>
  <r>
    <x v="740"/>
    <x v="3"/>
    <x v="34"/>
    <n v="30.6"/>
    <n v="1101.6000000000001"/>
    <x v="31"/>
    <x v="36"/>
    <x v="2"/>
    <x v="2"/>
    <x v="2"/>
    <x v="0"/>
    <x v="11"/>
    <n v="4"/>
    <x v="4"/>
    <x v="2"/>
  </r>
  <r>
    <x v="741"/>
    <x v="2"/>
    <x v="1"/>
    <n v="117.5"/>
    <n v="235"/>
    <x v="31"/>
    <x v="33"/>
    <x v="1"/>
    <x v="0"/>
    <x v="0"/>
    <x v="0"/>
    <x v="19"/>
    <n v="1"/>
    <x v="4"/>
    <x v="1"/>
  </r>
  <r>
    <x v="742"/>
    <x v="6"/>
    <x v="1"/>
    <n v="105.7"/>
    <n v="211.4"/>
    <x v="31"/>
    <x v="33"/>
    <x v="2"/>
    <x v="2"/>
    <x v="2"/>
    <x v="0"/>
    <x v="21"/>
    <n v="1"/>
    <x v="4"/>
    <x v="2"/>
  </r>
  <r>
    <x v="743"/>
    <x v="3"/>
    <x v="2"/>
    <n v="133.69999999999999"/>
    <n v="401.09999999999997"/>
    <x v="31"/>
    <x v="33"/>
    <x v="0"/>
    <x v="4"/>
    <x v="2"/>
    <x v="0"/>
    <x v="21"/>
    <n v="1"/>
    <x v="4"/>
    <x v="0"/>
  </r>
  <r>
    <x v="744"/>
    <x v="4"/>
    <x v="9"/>
    <n v="46.8"/>
    <n v="234"/>
    <x v="32"/>
    <x v="37"/>
    <x v="2"/>
    <x v="0"/>
    <x v="1"/>
    <x v="0"/>
    <x v="21"/>
    <n v="8"/>
    <x v="5"/>
    <x v="2"/>
  </r>
  <r>
    <x v="745"/>
    <x v="10"/>
    <x v="2"/>
    <n v="58.4"/>
    <n v="175.2"/>
    <x v="32"/>
    <x v="32"/>
    <x v="2"/>
    <x v="0"/>
    <x v="0"/>
    <x v="0"/>
    <x v="1"/>
    <n v="2"/>
    <x v="5"/>
    <x v="2"/>
  </r>
  <r>
    <x v="746"/>
    <x v="6"/>
    <x v="11"/>
    <n v="65.099999999999994"/>
    <n v="585.9"/>
    <x v="32"/>
    <x v="38"/>
    <x v="1"/>
    <x v="1"/>
    <x v="2"/>
    <x v="0"/>
    <x v="22"/>
    <n v="4"/>
    <x v="5"/>
    <x v="1"/>
  </r>
  <r>
    <x v="747"/>
    <x v="8"/>
    <x v="0"/>
    <n v="18.600000000000001"/>
    <n v="18.600000000000001"/>
    <x v="32"/>
    <x v="36"/>
    <x v="2"/>
    <x v="0"/>
    <x v="4"/>
    <x v="0"/>
    <x v="22"/>
    <n v="3"/>
    <x v="5"/>
    <x v="2"/>
  </r>
  <r>
    <x v="748"/>
    <x v="1"/>
    <x v="5"/>
    <n v="92.3"/>
    <n v="1015.3"/>
    <x v="32"/>
    <x v="32"/>
    <x v="1"/>
    <x v="1"/>
    <x v="0"/>
    <x v="0"/>
    <x v="3"/>
    <n v="2"/>
    <x v="5"/>
    <x v="1"/>
  </r>
  <r>
    <x v="749"/>
    <x v="6"/>
    <x v="2"/>
    <n v="81.7"/>
    <n v="245.10000000000002"/>
    <x v="32"/>
    <x v="34"/>
    <x v="0"/>
    <x v="4"/>
    <x v="4"/>
    <x v="0"/>
    <x v="3"/>
    <n v="1"/>
    <x v="5"/>
    <x v="0"/>
  </r>
  <r>
    <x v="750"/>
    <x v="8"/>
    <x v="1"/>
    <n v="40.9"/>
    <n v="81.8"/>
    <x v="32"/>
    <x v="32"/>
    <x v="1"/>
    <x v="0"/>
    <x v="1"/>
    <x v="0"/>
    <x v="3"/>
    <n v="2"/>
    <x v="5"/>
    <x v="1"/>
  </r>
  <r>
    <x v="751"/>
    <x v="6"/>
    <x v="12"/>
    <n v="43.2"/>
    <n v="172.8"/>
    <x v="32"/>
    <x v="39"/>
    <x v="2"/>
    <x v="0"/>
    <x v="1"/>
    <x v="0"/>
    <x v="3"/>
    <n v="6"/>
    <x v="5"/>
    <x v="2"/>
  </r>
  <r>
    <x v="752"/>
    <x v="8"/>
    <x v="5"/>
    <n v="25.8"/>
    <n v="283.8"/>
    <x v="32"/>
    <x v="36"/>
    <x v="1"/>
    <x v="2"/>
    <x v="1"/>
    <x v="0"/>
    <x v="3"/>
    <n v="3"/>
    <x v="5"/>
    <x v="1"/>
  </r>
  <r>
    <x v="753"/>
    <x v="15"/>
    <x v="12"/>
    <n v="36.4"/>
    <n v="145.6"/>
    <x v="32"/>
    <x v="34"/>
    <x v="1"/>
    <x v="0"/>
    <x v="0"/>
    <x v="0"/>
    <x v="3"/>
    <n v="1"/>
    <x v="5"/>
    <x v="1"/>
  </r>
  <r>
    <x v="754"/>
    <x v="10"/>
    <x v="0"/>
    <n v="59.1"/>
    <n v="59.1"/>
    <x v="32"/>
    <x v="34"/>
    <x v="2"/>
    <x v="2"/>
    <x v="0"/>
    <x v="0"/>
    <x v="7"/>
    <n v="1"/>
    <x v="5"/>
    <x v="2"/>
  </r>
  <r>
    <x v="755"/>
    <x v="2"/>
    <x v="14"/>
    <n v="74.5"/>
    <n v="1266.5"/>
    <x v="32"/>
    <x v="32"/>
    <x v="1"/>
    <x v="4"/>
    <x v="0"/>
    <x v="0"/>
    <x v="18"/>
    <n v="2"/>
    <x v="5"/>
    <x v="1"/>
  </r>
  <r>
    <x v="756"/>
    <x v="5"/>
    <x v="0"/>
    <n v="72.8"/>
    <n v="72.8"/>
    <x v="32"/>
    <x v="34"/>
    <x v="2"/>
    <x v="0"/>
    <x v="1"/>
    <x v="0"/>
    <x v="19"/>
    <n v="1"/>
    <x v="5"/>
    <x v="2"/>
  </r>
  <r>
    <x v="757"/>
    <x v="6"/>
    <x v="12"/>
    <n v="137.30000000000001"/>
    <n v="549.20000000000005"/>
    <x v="32"/>
    <x v="36"/>
    <x v="2"/>
    <x v="0"/>
    <x v="0"/>
    <x v="0"/>
    <x v="13"/>
    <n v="3"/>
    <x v="5"/>
    <x v="2"/>
  </r>
  <r>
    <x v="758"/>
    <x v="1"/>
    <x v="2"/>
    <n v="48.7"/>
    <n v="146.10000000000002"/>
    <x v="32"/>
    <x v="31"/>
    <x v="2"/>
    <x v="0"/>
    <x v="1"/>
    <x v="0"/>
    <x v="21"/>
    <n v="5"/>
    <x v="5"/>
    <x v="2"/>
  </r>
  <r>
    <x v="759"/>
    <x v="6"/>
    <x v="12"/>
    <n v="53.7"/>
    <n v="214.8"/>
    <x v="32"/>
    <x v="38"/>
    <x v="1"/>
    <x v="1"/>
    <x v="4"/>
    <x v="0"/>
    <x v="2"/>
    <n v="4"/>
    <x v="5"/>
    <x v="1"/>
  </r>
  <r>
    <x v="760"/>
    <x v="2"/>
    <x v="3"/>
    <n v="100.9"/>
    <n v="706.30000000000007"/>
    <x v="32"/>
    <x v="32"/>
    <x v="2"/>
    <x v="0"/>
    <x v="1"/>
    <x v="0"/>
    <x v="2"/>
    <n v="2"/>
    <x v="5"/>
    <x v="2"/>
  </r>
  <r>
    <x v="761"/>
    <x v="10"/>
    <x v="1"/>
    <n v="41.8"/>
    <n v="83.6"/>
    <x v="32"/>
    <x v="38"/>
    <x v="1"/>
    <x v="3"/>
    <x v="2"/>
    <x v="0"/>
    <x v="22"/>
    <n v="4"/>
    <x v="5"/>
    <x v="1"/>
  </r>
  <r>
    <x v="762"/>
    <x v="4"/>
    <x v="8"/>
    <n v="28.5"/>
    <n v="228"/>
    <x v="32"/>
    <x v="32"/>
    <x v="1"/>
    <x v="2"/>
    <x v="1"/>
    <x v="0"/>
    <x v="3"/>
    <n v="2"/>
    <x v="5"/>
    <x v="1"/>
  </r>
  <r>
    <x v="763"/>
    <x v="7"/>
    <x v="12"/>
    <n v="88.9"/>
    <n v="355.6"/>
    <x v="32"/>
    <x v="36"/>
    <x v="2"/>
    <x v="0"/>
    <x v="2"/>
    <x v="0"/>
    <x v="3"/>
    <n v="3"/>
    <x v="5"/>
    <x v="2"/>
  </r>
  <r>
    <x v="764"/>
    <x v="6"/>
    <x v="0"/>
    <n v="62.5"/>
    <n v="62.5"/>
    <x v="32"/>
    <x v="40"/>
    <x v="2"/>
    <x v="0"/>
    <x v="2"/>
    <x v="0"/>
    <x v="3"/>
    <n v="9"/>
    <x v="5"/>
    <x v="2"/>
  </r>
  <r>
    <x v="765"/>
    <x v="1"/>
    <x v="2"/>
    <n v="46.9"/>
    <n v="140.69999999999999"/>
    <x v="32"/>
    <x v="34"/>
    <x v="1"/>
    <x v="0"/>
    <x v="2"/>
    <x v="0"/>
    <x v="3"/>
    <n v="1"/>
    <x v="5"/>
    <x v="1"/>
  </r>
  <r>
    <x v="766"/>
    <x v="8"/>
    <x v="2"/>
    <n v="45"/>
    <n v="135"/>
    <x v="32"/>
    <x v="41"/>
    <x v="1"/>
    <x v="1"/>
    <x v="0"/>
    <x v="0"/>
    <x v="3"/>
    <n v="14"/>
    <x v="5"/>
    <x v="1"/>
  </r>
  <r>
    <x v="767"/>
    <x v="6"/>
    <x v="2"/>
    <n v="45.2"/>
    <n v="135.60000000000002"/>
    <x v="32"/>
    <x v="32"/>
    <x v="1"/>
    <x v="4"/>
    <x v="2"/>
    <x v="0"/>
    <x v="3"/>
    <n v="2"/>
    <x v="5"/>
    <x v="1"/>
  </r>
  <r>
    <x v="768"/>
    <x v="4"/>
    <x v="1"/>
    <n v="60.1"/>
    <n v="120.2"/>
    <x v="32"/>
    <x v="34"/>
    <x v="2"/>
    <x v="0"/>
    <x v="2"/>
    <x v="0"/>
    <x v="3"/>
    <n v="1"/>
    <x v="5"/>
    <x v="2"/>
  </r>
  <r>
    <x v="769"/>
    <x v="12"/>
    <x v="12"/>
    <n v="118.7"/>
    <n v="474.8"/>
    <x v="32"/>
    <x v="32"/>
    <x v="2"/>
    <x v="0"/>
    <x v="0"/>
    <x v="0"/>
    <x v="3"/>
    <n v="2"/>
    <x v="5"/>
    <x v="2"/>
  </r>
  <r>
    <x v="770"/>
    <x v="9"/>
    <x v="0"/>
    <n v="57.8"/>
    <n v="57.8"/>
    <x v="32"/>
    <x v="40"/>
    <x v="2"/>
    <x v="1"/>
    <x v="0"/>
    <x v="0"/>
    <x v="3"/>
    <n v="9"/>
    <x v="5"/>
    <x v="2"/>
  </r>
  <r>
    <x v="771"/>
    <x v="4"/>
    <x v="0"/>
    <n v="19.5"/>
    <n v="19.5"/>
    <x v="32"/>
    <x v="34"/>
    <x v="1"/>
    <x v="1"/>
    <x v="1"/>
    <x v="0"/>
    <x v="3"/>
    <n v="1"/>
    <x v="5"/>
    <x v="1"/>
  </r>
  <r>
    <x v="772"/>
    <x v="12"/>
    <x v="0"/>
    <n v="42.6"/>
    <n v="42.6"/>
    <x v="32"/>
    <x v="34"/>
    <x v="1"/>
    <x v="0"/>
    <x v="1"/>
    <x v="0"/>
    <x v="3"/>
    <n v="1"/>
    <x v="5"/>
    <x v="1"/>
  </r>
  <r>
    <x v="773"/>
    <x v="6"/>
    <x v="1"/>
    <n v="74.8"/>
    <n v="149.6"/>
    <x v="32"/>
    <x v="34"/>
    <x v="2"/>
    <x v="3"/>
    <x v="2"/>
    <x v="0"/>
    <x v="37"/>
    <n v="1"/>
    <x v="5"/>
    <x v="2"/>
  </r>
  <r>
    <x v="774"/>
    <x v="8"/>
    <x v="2"/>
    <n v="32.5"/>
    <n v="97.5"/>
    <x v="32"/>
    <x v="34"/>
    <x v="1"/>
    <x v="2"/>
    <x v="4"/>
    <x v="0"/>
    <x v="16"/>
    <n v="1"/>
    <x v="5"/>
    <x v="1"/>
  </r>
  <r>
    <x v="775"/>
    <x v="2"/>
    <x v="2"/>
    <n v="60.5"/>
    <n v="181.5"/>
    <x v="32"/>
    <x v="33"/>
    <x v="2"/>
    <x v="1"/>
    <x v="2"/>
    <x v="0"/>
    <x v="25"/>
    <n v="0"/>
    <x v="5"/>
    <x v="2"/>
  </r>
  <r>
    <x v="776"/>
    <x v="1"/>
    <x v="3"/>
    <n v="57.2"/>
    <n v="400.40000000000003"/>
    <x v="32"/>
    <x v="32"/>
    <x v="0"/>
    <x v="2"/>
    <x v="0"/>
    <x v="0"/>
    <x v="25"/>
    <n v="2"/>
    <x v="5"/>
    <x v="0"/>
  </r>
  <r>
    <x v="777"/>
    <x v="16"/>
    <x v="1"/>
    <n v="112"/>
    <n v="224"/>
    <x v="32"/>
    <x v="34"/>
    <x v="2"/>
    <x v="1"/>
    <x v="1"/>
    <x v="0"/>
    <x v="5"/>
    <n v="1"/>
    <x v="5"/>
    <x v="2"/>
  </r>
  <r>
    <x v="778"/>
    <x v="7"/>
    <x v="7"/>
    <n v="49"/>
    <n v="490"/>
    <x v="32"/>
    <x v="34"/>
    <x v="3"/>
    <x v="2"/>
    <x v="1"/>
    <x v="0"/>
    <x v="6"/>
    <n v="1"/>
    <x v="5"/>
    <x v="3"/>
  </r>
  <r>
    <x v="779"/>
    <x v="0"/>
    <x v="1"/>
    <n v="33.700000000000003"/>
    <n v="67.400000000000006"/>
    <x v="32"/>
    <x v="38"/>
    <x v="2"/>
    <x v="3"/>
    <x v="0"/>
    <x v="0"/>
    <x v="6"/>
    <n v="4"/>
    <x v="5"/>
    <x v="2"/>
  </r>
  <r>
    <x v="780"/>
    <x v="4"/>
    <x v="2"/>
    <n v="35.6"/>
    <n v="106.80000000000001"/>
    <x v="32"/>
    <x v="36"/>
    <x v="2"/>
    <x v="0"/>
    <x v="2"/>
    <x v="0"/>
    <x v="6"/>
    <n v="3"/>
    <x v="5"/>
    <x v="2"/>
  </r>
  <r>
    <x v="781"/>
    <x v="4"/>
    <x v="36"/>
    <n v="30.4"/>
    <n v="1064"/>
    <x v="33"/>
    <x v="34"/>
    <x v="2"/>
    <x v="0"/>
    <x v="1"/>
    <x v="0"/>
    <x v="7"/>
    <n v="0"/>
    <x v="5"/>
    <x v="2"/>
  </r>
  <r>
    <x v="782"/>
    <x v="10"/>
    <x v="4"/>
    <n v="50.2"/>
    <n v="602.40000000000009"/>
    <x v="33"/>
    <x v="32"/>
    <x v="1"/>
    <x v="4"/>
    <x v="0"/>
    <x v="0"/>
    <x v="8"/>
    <n v="1"/>
    <x v="5"/>
    <x v="1"/>
  </r>
  <r>
    <x v="783"/>
    <x v="1"/>
    <x v="1"/>
    <n v="43.7"/>
    <n v="87.4"/>
    <x v="33"/>
    <x v="36"/>
    <x v="2"/>
    <x v="0"/>
    <x v="0"/>
    <x v="0"/>
    <x v="8"/>
    <n v="2"/>
    <x v="5"/>
    <x v="2"/>
  </r>
  <r>
    <x v="784"/>
    <x v="10"/>
    <x v="0"/>
    <n v="33.299999999999997"/>
    <n v="33.299999999999997"/>
    <x v="33"/>
    <x v="32"/>
    <x v="2"/>
    <x v="2"/>
    <x v="1"/>
    <x v="0"/>
    <x v="8"/>
    <n v="1"/>
    <x v="5"/>
    <x v="2"/>
  </r>
  <r>
    <x v="785"/>
    <x v="8"/>
    <x v="12"/>
    <n v="15.1"/>
    <n v="60.4"/>
    <x v="33"/>
    <x v="36"/>
    <x v="2"/>
    <x v="4"/>
    <x v="2"/>
    <x v="0"/>
    <x v="8"/>
    <n v="2"/>
    <x v="5"/>
    <x v="2"/>
  </r>
  <r>
    <x v="786"/>
    <x v="6"/>
    <x v="9"/>
    <n v="118.2"/>
    <n v="591"/>
    <x v="33"/>
    <x v="32"/>
    <x v="2"/>
    <x v="3"/>
    <x v="4"/>
    <x v="0"/>
    <x v="8"/>
    <n v="1"/>
    <x v="5"/>
    <x v="2"/>
  </r>
  <r>
    <x v="787"/>
    <x v="10"/>
    <x v="2"/>
    <n v="28.9"/>
    <n v="86.699999999999989"/>
    <x v="33"/>
    <x v="36"/>
    <x v="2"/>
    <x v="2"/>
    <x v="1"/>
    <x v="0"/>
    <x v="8"/>
    <n v="2"/>
    <x v="5"/>
    <x v="2"/>
  </r>
  <r>
    <x v="788"/>
    <x v="4"/>
    <x v="2"/>
    <n v="55.6"/>
    <n v="166.8"/>
    <x v="33"/>
    <x v="32"/>
    <x v="1"/>
    <x v="0"/>
    <x v="1"/>
    <x v="0"/>
    <x v="8"/>
    <n v="1"/>
    <x v="5"/>
    <x v="1"/>
  </r>
  <r>
    <x v="789"/>
    <x v="9"/>
    <x v="12"/>
    <n v="25.6"/>
    <n v="102.4"/>
    <x v="33"/>
    <x v="36"/>
    <x v="2"/>
    <x v="0"/>
    <x v="1"/>
    <x v="0"/>
    <x v="8"/>
    <n v="2"/>
    <x v="5"/>
    <x v="2"/>
  </r>
  <r>
    <x v="790"/>
    <x v="7"/>
    <x v="2"/>
    <n v="31.3"/>
    <n v="93.9"/>
    <x v="33"/>
    <x v="32"/>
    <x v="1"/>
    <x v="0"/>
    <x v="0"/>
    <x v="0"/>
    <x v="17"/>
    <n v="1"/>
    <x v="5"/>
    <x v="1"/>
  </r>
  <r>
    <x v="791"/>
    <x v="0"/>
    <x v="2"/>
    <n v="22.1"/>
    <n v="66.300000000000011"/>
    <x v="33"/>
    <x v="31"/>
    <x v="1"/>
    <x v="0"/>
    <x v="0"/>
    <x v="0"/>
    <x v="17"/>
    <n v="4"/>
    <x v="5"/>
    <x v="1"/>
  </r>
  <r>
    <x v="792"/>
    <x v="2"/>
    <x v="21"/>
    <n v="99.4"/>
    <n v="1391.6000000000001"/>
    <x v="33"/>
    <x v="32"/>
    <x v="1"/>
    <x v="1"/>
    <x v="0"/>
    <x v="0"/>
    <x v="11"/>
    <n v="1"/>
    <x v="5"/>
    <x v="1"/>
  </r>
  <r>
    <x v="793"/>
    <x v="7"/>
    <x v="13"/>
    <n v="66.599999999999994"/>
    <n v="399.59999999999997"/>
    <x v="33"/>
    <x v="32"/>
    <x v="2"/>
    <x v="0"/>
    <x v="0"/>
    <x v="0"/>
    <x v="11"/>
    <n v="1"/>
    <x v="5"/>
    <x v="2"/>
  </r>
  <r>
    <x v="794"/>
    <x v="8"/>
    <x v="1"/>
    <n v="22.6"/>
    <n v="45.2"/>
    <x v="33"/>
    <x v="38"/>
    <x v="1"/>
    <x v="0"/>
    <x v="0"/>
    <x v="0"/>
    <x v="11"/>
    <n v="3"/>
    <x v="5"/>
    <x v="1"/>
  </r>
  <r>
    <x v="795"/>
    <x v="2"/>
    <x v="16"/>
    <n v="66.8"/>
    <n v="1202.3999999999999"/>
    <x v="33"/>
    <x v="32"/>
    <x v="2"/>
    <x v="0"/>
    <x v="4"/>
    <x v="0"/>
    <x v="13"/>
    <n v="1"/>
    <x v="5"/>
    <x v="2"/>
  </r>
  <r>
    <x v="796"/>
    <x v="0"/>
    <x v="12"/>
    <n v="20.8"/>
    <n v="83.2"/>
    <x v="33"/>
    <x v="37"/>
    <x v="1"/>
    <x v="1"/>
    <x v="4"/>
    <x v="0"/>
    <x v="1"/>
    <n v="7"/>
    <x v="5"/>
    <x v="1"/>
  </r>
  <r>
    <x v="797"/>
    <x v="2"/>
    <x v="3"/>
    <n v="102.5"/>
    <n v="717.5"/>
    <x v="33"/>
    <x v="32"/>
    <x v="2"/>
    <x v="4"/>
    <x v="2"/>
    <x v="0"/>
    <x v="3"/>
    <n v="1"/>
    <x v="5"/>
    <x v="2"/>
  </r>
  <r>
    <x v="798"/>
    <x v="0"/>
    <x v="16"/>
    <n v="24.8"/>
    <n v="446.40000000000003"/>
    <x v="33"/>
    <x v="31"/>
    <x v="2"/>
    <x v="0"/>
    <x v="0"/>
    <x v="0"/>
    <x v="3"/>
    <n v="4"/>
    <x v="5"/>
    <x v="2"/>
  </r>
  <r>
    <x v="799"/>
    <x v="4"/>
    <x v="37"/>
    <n v="31.4"/>
    <n v="973.4"/>
    <x v="33"/>
    <x v="32"/>
    <x v="2"/>
    <x v="3"/>
    <x v="0"/>
    <x v="0"/>
    <x v="3"/>
    <n v="1"/>
    <x v="5"/>
    <x v="2"/>
  </r>
  <r>
    <x v="800"/>
    <x v="9"/>
    <x v="9"/>
    <n v="59.3"/>
    <n v="296.5"/>
    <x v="33"/>
    <x v="38"/>
    <x v="1"/>
    <x v="1"/>
    <x v="2"/>
    <x v="0"/>
    <x v="43"/>
    <n v="3"/>
    <x v="5"/>
    <x v="1"/>
  </r>
  <r>
    <x v="801"/>
    <x v="11"/>
    <x v="13"/>
    <n v="39"/>
    <n v="234"/>
    <x v="33"/>
    <x v="38"/>
    <x v="1"/>
    <x v="1"/>
    <x v="0"/>
    <x v="0"/>
    <x v="6"/>
    <n v="3"/>
    <x v="5"/>
    <x v="1"/>
  </r>
  <r>
    <x v="802"/>
    <x v="5"/>
    <x v="13"/>
    <n v="98.6"/>
    <n v="591.59999999999991"/>
    <x v="33"/>
    <x v="36"/>
    <x v="2"/>
    <x v="1"/>
    <x v="0"/>
    <x v="0"/>
    <x v="6"/>
    <n v="2"/>
    <x v="5"/>
    <x v="2"/>
  </r>
  <r>
    <x v="803"/>
    <x v="8"/>
    <x v="0"/>
    <n v="20"/>
    <n v="20"/>
    <x v="34"/>
    <x v="36"/>
    <x v="1"/>
    <x v="3"/>
    <x v="2"/>
    <x v="0"/>
    <x v="8"/>
    <n v="1"/>
    <x v="5"/>
    <x v="1"/>
  </r>
  <r>
    <x v="804"/>
    <x v="1"/>
    <x v="1"/>
    <n v="42.9"/>
    <n v="85.8"/>
    <x v="34"/>
    <x v="38"/>
    <x v="2"/>
    <x v="0"/>
    <x v="2"/>
    <x v="0"/>
    <x v="8"/>
    <n v="2"/>
    <x v="5"/>
    <x v="2"/>
  </r>
  <r>
    <x v="805"/>
    <x v="7"/>
    <x v="3"/>
    <n v="55.6"/>
    <n v="389.2"/>
    <x v="34"/>
    <x v="38"/>
    <x v="2"/>
    <x v="2"/>
    <x v="1"/>
    <x v="0"/>
    <x v="8"/>
    <n v="2"/>
    <x v="5"/>
    <x v="2"/>
  </r>
  <r>
    <x v="806"/>
    <x v="8"/>
    <x v="12"/>
    <n v="19.2"/>
    <n v="76.8"/>
    <x v="34"/>
    <x v="35"/>
    <x v="2"/>
    <x v="0"/>
    <x v="0"/>
    <x v="0"/>
    <x v="41"/>
    <n v="5"/>
    <x v="5"/>
    <x v="2"/>
  </r>
  <r>
    <x v="807"/>
    <x v="5"/>
    <x v="1"/>
    <n v="28.8"/>
    <n v="57.6"/>
    <x v="34"/>
    <x v="38"/>
    <x v="1"/>
    <x v="1"/>
    <x v="0"/>
    <x v="0"/>
    <x v="18"/>
    <n v="2"/>
    <x v="5"/>
    <x v="1"/>
  </r>
  <r>
    <x v="808"/>
    <x v="4"/>
    <x v="0"/>
    <n v="29.7"/>
    <n v="29.7"/>
    <x v="34"/>
    <x v="38"/>
    <x v="2"/>
    <x v="2"/>
    <x v="4"/>
    <x v="0"/>
    <x v="20"/>
    <n v="2"/>
    <x v="5"/>
    <x v="2"/>
  </r>
  <r>
    <x v="809"/>
    <x v="6"/>
    <x v="13"/>
    <n v="63.3"/>
    <n v="379.79999999999995"/>
    <x v="34"/>
    <x v="36"/>
    <x v="0"/>
    <x v="0"/>
    <x v="2"/>
    <x v="0"/>
    <x v="21"/>
    <n v="1"/>
    <x v="5"/>
    <x v="0"/>
  </r>
  <r>
    <x v="810"/>
    <x v="4"/>
    <x v="0"/>
    <n v="46"/>
    <n v="46"/>
    <x v="34"/>
    <x v="36"/>
    <x v="2"/>
    <x v="0"/>
    <x v="2"/>
    <x v="0"/>
    <x v="21"/>
    <n v="1"/>
    <x v="5"/>
    <x v="2"/>
  </r>
  <r>
    <x v="811"/>
    <x v="11"/>
    <x v="2"/>
    <n v="38"/>
    <n v="114"/>
    <x v="34"/>
    <x v="38"/>
    <x v="2"/>
    <x v="1"/>
    <x v="2"/>
    <x v="0"/>
    <x v="21"/>
    <n v="2"/>
    <x v="5"/>
    <x v="2"/>
  </r>
  <r>
    <x v="812"/>
    <x v="10"/>
    <x v="15"/>
    <n v="34.6"/>
    <n v="449.8"/>
    <x v="34"/>
    <x v="38"/>
    <x v="2"/>
    <x v="0"/>
    <x v="1"/>
    <x v="0"/>
    <x v="21"/>
    <n v="2"/>
    <x v="5"/>
    <x v="2"/>
  </r>
  <r>
    <x v="813"/>
    <x v="3"/>
    <x v="7"/>
    <n v="79.7"/>
    <n v="797"/>
    <x v="34"/>
    <x v="36"/>
    <x v="2"/>
    <x v="4"/>
    <x v="1"/>
    <x v="0"/>
    <x v="21"/>
    <n v="1"/>
    <x v="5"/>
    <x v="2"/>
  </r>
  <r>
    <x v="814"/>
    <x v="8"/>
    <x v="8"/>
    <n v="30.5"/>
    <n v="244"/>
    <x v="34"/>
    <x v="39"/>
    <x v="1"/>
    <x v="3"/>
    <x v="0"/>
    <x v="0"/>
    <x v="1"/>
    <n v="4"/>
    <x v="5"/>
    <x v="1"/>
  </r>
  <r>
    <x v="815"/>
    <x v="0"/>
    <x v="1"/>
    <n v="20.8"/>
    <n v="41.6"/>
    <x v="34"/>
    <x v="36"/>
    <x v="2"/>
    <x v="0"/>
    <x v="0"/>
    <x v="0"/>
    <x v="2"/>
    <n v="1"/>
    <x v="5"/>
    <x v="2"/>
  </r>
  <r>
    <x v="816"/>
    <x v="11"/>
    <x v="3"/>
    <n v="48.5"/>
    <n v="339.5"/>
    <x v="34"/>
    <x v="39"/>
    <x v="2"/>
    <x v="2"/>
    <x v="2"/>
    <x v="0"/>
    <x v="2"/>
    <n v="4"/>
    <x v="5"/>
    <x v="2"/>
  </r>
  <r>
    <x v="817"/>
    <x v="2"/>
    <x v="12"/>
    <n v="61.8"/>
    <n v="247.2"/>
    <x v="34"/>
    <x v="39"/>
    <x v="2"/>
    <x v="4"/>
    <x v="0"/>
    <x v="0"/>
    <x v="22"/>
    <n v="4"/>
    <x v="5"/>
    <x v="2"/>
  </r>
  <r>
    <x v="818"/>
    <x v="10"/>
    <x v="0"/>
    <n v="46.1"/>
    <n v="46.1"/>
    <x v="34"/>
    <x v="36"/>
    <x v="3"/>
    <x v="2"/>
    <x v="0"/>
    <x v="0"/>
    <x v="3"/>
    <n v="1"/>
    <x v="5"/>
    <x v="3"/>
  </r>
  <r>
    <x v="819"/>
    <x v="4"/>
    <x v="13"/>
    <n v="44"/>
    <n v="264"/>
    <x v="34"/>
    <x v="36"/>
    <x v="2"/>
    <x v="0"/>
    <x v="0"/>
    <x v="0"/>
    <x v="3"/>
    <n v="1"/>
    <x v="5"/>
    <x v="2"/>
  </r>
  <r>
    <x v="820"/>
    <x v="18"/>
    <x v="1"/>
    <n v="95.7"/>
    <n v="191.4"/>
    <x v="34"/>
    <x v="37"/>
    <x v="2"/>
    <x v="3"/>
    <x v="2"/>
    <x v="0"/>
    <x v="3"/>
    <n v="6"/>
    <x v="5"/>
    <x v="2"/>
  </r>
  <r>
    <x v="821"/>
    <x v="7"/>
    <x v="9"/>
    <n v="46.4"/>
    <n v="232"/>
    <x v="34"/>
    <x v="31"/>
    <x v="2"/>
    <x v="0"/>
    <x v="0"/>
    <x v="0"/>
    <x v="3"/>
    <n v="3"/>
    <x v="5"/>
    <x v="2"/>
  </r>
  <r>
    <x v="822"/>
    <x v="6"/>
    <x v="1"/>
    <n v="47.2"/>
    <n v="94.4"/>
    <x v="34"/>
    <x v="38"/>
    <x v="2"/>
    <x v="0"/>
    <x v="2"/>
    <x v="0"/>
    <x v="3"/>
    <n v="2"/>
    <x v="5"/>
    <x v="2"/>
  </r>
  <r>
    <x v="823"/>
    <x v="7"/>
    <x v="1"/>
    <n v="58.6"/>
    <n v="117.2"/>
    <x v="34"/>
    <x v="36"/>
    <x v="2"/>
    <x v="2"/>
    <x v="1"/>
    <x v="0"/>
    <x v="3"/>
    <n v="1"/>
    <x v="5"/>
    <x v="2"/>
  </r>
  <r>
    <x v="824"/>
    <x v="4"/>
    <x v="2"/>
    <n v="57"/>
    <n v="171"/>
    <x v="34"/>
    <x v="36"/>
    <x v="1"/>
    <x v="0"/>
    <x v="2"/>
    <x v="0"/>
    <x v="3"/>
    <n v="1"/>
    <x v="5"/>
    <x v="1"/>
  </r>
  <r>
    <x v="825"/>
    <x v="8"/>
    <x v="12"/>
    <n v="28.9"/>
    <n v="115.6"/>
    <x v="34"/>
    <x v="39"/>
    <x v="1"/>
    <x v="2"/>
    <x v="0"/>
    <x v="0"/>
    <x v="3"/>
    <n v="4"/>
    <x v="5"/>
    <x v="1"/>
  </r>
  <r>
    <x v="826"/>
    <x v="12"/>
    <x v="9"/>
    <n v="60.7"/>
    <n v="303.5"/>
    <x v="34"/>
    <x v="39"/>
    <x v="0"/>
    <x v="1"/>
    <x v="1"/>
    <x v="0"/>
    <x v="3"/>
    <n v="4"/>
    <x v="5"/>
    <x v="0"/>
  </r>
  <r>
    <x v="827"/>
    <x v="6"/>
    <x v="9"/>
    <n v="60.8"/>
    <n v="304"/>
    <x v="34"/>
    <x v="39"/>
    <x v="1"/>
    <x v="0"/>
    <x v="1"/>
    <x v="0"/>
    <x v="3"/>
    <n v="4"/>
    <x v="5"/>
    <x v="1"/>
  </r>
  <r>
    <x v="828"/>
    <x v="6"/>
    <x v="9"/>
    <n v="64.599999999999994"/>
    <n v="323"/>
    <x v="34"/>
    <x v="36"/>
    <x v="2"/>
    <x v="3"/>
    <x v="0"/>
    <x v="0"/>
    <x v="3"/>
    <n v="1"/>
    <x v="5"/>
    <x v="2"/>
  </r>
  <r>
    <x v="829"/>
    <x v="8"/>
    <x v="0"/>
    <n v="21.9"/>
    <n v="21.9"/>
    <x v="34"/>
    <x v="31"/>
    <x v="1"/>
    <x v="1"/>
    <x v="2"/>
    <x v="0"/>
    <x v="4"/>
    <n v="3"/>
    <x v="5"/>
    <x v="1"/>
  </r>
  <r>
    <x v="830"/>
    <x v="4"/>
    <x v="4"/>
    <n v="33.4"/>
    <n v="400.79999999999995"/>
    <x v="34"/>
    <x v="38"/>
    <x v="2"/>
    <x v="0"/>
    <x v="0"/>
    <x v="0"/>
    <x v="23"/>
    <n v="2"/>
    <x v="5"/>
    <x v="2"/>
  </r>
  <r>
    <x v="831"/>
    <x v="2"/>
    <x v="0"/>
    <n v="51.7"/>
    <n v="51.7"/>
    <x v="34"/>
    <x v="36"/>
    <x v="0"/>
    <x v="0"/>
    <x v="0"/>
    <x v="0"/>
    <x v="6"/>
    <n v="1"/>
    <x v="5"/>
    <x v="0"/>
  </r>
  <r>
    <x v="832"/>
    <x v="1"/>
    <x v="12"/>
    <n v="84.9"/>
    <n v="339.6"/>
    <x v="34"/>
    <x v="36"/>
    <x v="2"/>
    <x v="1"/>
    <x v="1"/>
    <x v="0"/>
    <x v="6"/>
    <n v="1"/>
    <x v="5"/>
    <x v="2"/>
  </r>
  <r>
    <x v="833"/>
    <x v="1"/>
    <x v="5"/>
    <n v="62.3"/>
    <n v="685.3"/>
    <x v="34"/>
    <x v="36"/>
    <x v="2"/>
    <x v="2"/>
    <x v="2"/>
    <x v="0"/>
    <x v="7"/>
    <n v="1"/>
    <x v="5"/>
    <x v="2"/>
  </r>
  <r>
    <x v="834"/>
    <x v="4"/>
    <x v="0"/>
    <n v="50.7"/>
    <n v="50.7"/>
    <x v="34"/>
    <x v="38"/>
    <x v="1"/>
    <x v="2"/>
    <x v="2"/>
    <x v="0"/>
    <x v="8"/>
    <n v="2"/>
    <x v="5"/>
    <x v="1"/>
  </r>
  <r>
    <x v="835"/>
    <x v="18"/>
    <x v="0"/>
    <n v="39.5"/>
    <n v="39.5"/>
    <x v="34"/>
    <x v="36"/>
    <x v="1"/>
    <x v="4"/>
    <x v="1"/>
    <x v="0"/>
    <x v="8"/>
    <n v="1"/>
    <x v="5"/>
    <x v="1"/>
  </r>
  <r>
    <x v="836"/>
    <x v="12"/>
    <x v="2"/>
    <n v="30.9"/>
    <n v="92.699999999999989"/>
    <x v="34"/>
    <x v="36"/>
    <x v="0"/>
    <x v="4"/>
    <x v="2"/>
    <x v="0"/>
    <x v="8"/>
    <n v="1"/>
    <x v="5"/>
    <x v="0"/>
  </r>
  <r>
    <x v="837"/>
    <x v="1"/>
    <x v="3"/>
    <n v="36.4"/>
    <n v="254.79999999999998"/>
    <x v="34"/>
    <x v="31"/>
    <x v="2"/>
    <x v="0"/>
    <x v="2"/>
    <x v="0"/>
    <x v="8"/>
    <n v="3"/>
    <x v="5"/>
    <x v="2"/>
  </r>
  <r>
    <x v="838"/>
    <x v="6"/>
    <x v="8"/>
    <n v="105.6"/>
    <n v="844.8"/>
    <x v="34"/>
    <x v="42"/>
    <x v="2"/>
    <x v="0"/>
    <x v="0"/>
    <x v="0"/>
    <x v="8"/>
    <n v="10"/>
    <x v="5"/>
    <x v="2"/>
  </r>
  <r>
    <x v="839"/>
    <x v="8"/>
    <x v="1"/>
    <n v="22.1"/>
    <n v="44.2"/>
    <x v="34"/>
    <x v="36"/>
    <x v="2"/>
    <x v="0"/>
    <x v="2"/>
    <x v="0"/>
    <x v="17"/>
    <n v="1"/>
    <x v="5"/>
    <x v="2"/>
  </r>
  <r>
    <x v="840"/>
    <x v="0"/>
    <x v="2"/>
    <n v="22.6"/>
    <n v="67.800000000000011"/>
    <x v="34"/>
    <x v="36"/>
    <x v="2"/>
    <x v="2"/>
    <x v="0"/>
    <x v="0"/>
    <x v="17"/>
    <n v="1"/>
    <x v="5"/>
    <x v="2"/>
  </r>
  <r>
    <x v="841"/>
    <x v="10"/>
    <x v="13"/>
    <n v="26.3"/>
    <n v="157.80000000000001"/>
    <x v="34"/>
    <x v="32"/>
    <x v="2"/>
    <x v="2"/>
    <x v="0"/>
    <x v="0"/>
    <x v="9"/>
    <n v="0"/>
    <x v="5"/>
    <x v="2"/>
  </r>
  <r>
    <x v="842"/>
    <x v="1"/>
    <x v="12"/>
    <n v="37.799999999999997"/>
    <n v="151.19999999999999"/>
    <x v="34"/>
    <x v="36"/>
    <x v="2"/>
    <x v="0"/>
    <x v="2"/>
    <x v="0"/>
    <x v="11"/>
    <n v="1"/>
    <x v="5"/>
    <x v="2"/>
  </r>
  <r>
    <x v="843"/>
    <x v="6"/>
    <x v="14"/>
    <n v="96"/>
    <n v="1632"/>
    <x v="34"/>
    <x v="31"/>
    <x v="2"/>
    <x v="4"/>
    <x v="1"/>
    <x v="0"/>
    <x v="18"/>
    <n v="3"/>
    <x v="5"/>
    <x v="2"/>
  </r>
  <r>
    <x v="844"/>
    <x v="1"/>
    <x v="0"/>
    <n v="83.6"/>
    <n v="83.6"/>
    <x v="34"/>
    <x v="31"/>
    <x v="2"/>
    <x v="2"/>
    <x v="1"/>
    <x v="0"/>
    <x v="19"/>
    <n v="3"/>
    <x v="5"/>
    <x v="2"/>
  </r>
  <r>
    <x v="845"/>
    <x v="2"/>
    <x v="13"/>
    <n v="72.599999999999994"/>
    <n v="435.59999999999997"/>
    <x v="34"/>
    <x v="36"/>
    <x v="2"/>
    <x v="0"/>
    <x v="0"/>
    <x v="0"/>
    <x v="21"/>
    <n v="1"/>
    <x v="5"/>
    <x v="2"/>
  </r>
  <r>
    <x v="846"/>
    <x v="5"/>
    <x v="28"/>
    <n v="69.099999999999994"/>
    <n v="1382"/>
    <x v="35"/>
    <x v="40"/>
    <x v="1"/>
    <x v="0"/>
    <x v="2"/>
    <x v="0"/>
    <x v="21"/>
    <n v="6"/>
    <x v="5"/>
    <x v="1"/>
  </r>
  <r>
    <x v="847"/>
    <x v="4"/>
    <x v="1"/>
    <n v="22.6"/>
    <n v="45.2"/>
    <x v="35"/>
    <x v="31"/>
    <x v="2"/>
    <x v="1"/>
    <x v="2"/>
    <x v="0"/>
    <x v="21"/>
    <n v="2"/>
    <x v="5"/>
    <x v="2"/>
  </r>
  <r>
    <x v="848"/>
    <x v="6"/>
    <x v="1"/>
    <n v="45.3"/>
    <n v="90.6"/>
    <x v="35"/>
    <x v="35"/>
    <x v="1"/>
    <x v="4"/>
    <x v="2"/>
    <x v="0"/>
    <x v="21"/>
    <n v="4"/>
    <x v="5"/>
    <x v="1"/>
  </r>
  <r>
    <x v="849"/>
    <x v="2"/>
    <x v="1"/>
    <n v="115.1"/>
    <n v="230.2"/>
    <x v="35"/>
    <x v="38"/>
    <x v="2"/>
    <x v="1"/>
    <x v="0"/>
    <x v="0"/>
    <x v="1"/>
    <n v="1"/>
    <x v="5"/>
    <x v="2"/>
  </r>
  <r>
    <x v="850"/>
    <x v="18"/>
    <x v="12"/>
    <n v="79"/>
    <n v="316"/>
    <x v="35"/>
    <x v="31"/>
    <x v="1"/>
    <x v="2"/>
    <x v="4"/>
    <x v="0"/>
    <x v="1"/>
    <n v="2"/>
    <x v="5"/>
    <x v="1"/>
  </r>
  <r>
    <x v="851"/>
    <x v="6"/>
    <x v="9"/>
    <n v="52.8"/>
    <n v="264"/>
    <x v="35"/>
    <x v="38"/>
    <x v="2"/>
    <x v="0"/>
    <x v="0"/>
    <x v="0"/>
    <x v="42"/>
    <n v="1"/>
    <x v="5"/>
    <x v="2"/>
  </r>
  <r>
    <x v="852"/>
    <x v="8"/>
    <x v="1"/>
    <n v="34.1"/>
    <n v="68.2"/>
    <x v="35"/>
    <x v="38"/>
    <x v="1"/>
    <x v="3"/>
    <x v="2"/>
    <x v="0"/>
    <x v="44"/>
    <n v="1"/>
    <x v="5"/>
    <x v="1"/>
  </r>
  <r>
    <x v="853"/>
    <x v="6"/>
    <x v="9"/>
    <n v="107.9"/>
    <n v="539.5"/>
    <x v="35"/>
    <x v="36"/>
    <x v="2"/>
    <x v="0"/>
    <x v="2"/>
    <x v="0"/>
    <x v="50"/>
    <n v="0"/>
    <x v="5"/>
    <x v="2"/>
  </r>
  <r>
    <x v="854"/>
    <x v="8"/>
    <x v="15"/>
    <n v="48.5"/>
    <n v="630.5"/>
    <x v="35"/>
    <x v="36"/>
    <x v="1"/>
    <x v="2"/>
    <x v="2"/>
    <x v="0"/>
    <x v="3"/>
    <n v="0"/>
    <x v="5"/>
    <x v="1"/>
  </r>
  <r>
    <x v="855"/>
    <x v="5"/>
    <x v="2"/>
    <n v="34.700000000000003"/>
    <n v="104.10000000000001"/>
    <x v="35"/>
    <x v="38"/>
    <x v="0"/>
    <x v="4"/>
    <x v="1"/>
    <x v="0"/>
    <x v="3"/>
    <n v="1"/>
    <x v="5"/>
    <x v="0"/>
  </r>
  <r>
    <x v="856"/>
    <x v="8"/>
    <x v="0"/>
    <n v="16.8"/>
    <n v="16.8"/>
    <x v="35"/>
    <x v="31"/>
    <x v="2"/>
    <x v="3"/>
    <x v="0"/>
    <x v="0"/>
    <x v="3"/>
    <n v="2"/>
    <x v="5"/>
    <x v="2"/>
  </r>
  <r>
    <x v="857"/>
    <x v="8"/>
    <x v="13"/>
    <n v="18.3"/>
    <n v="109.80000000000001"/>
    <x v="35"/>
    <x v="39"/>
    <x v="2"/>
    <x v="0"/>
    <x v="0"/>
    <x v="0"/>
    <x v="3"/>
    <n v="3"/>
    <x v="5"/>
    <x v="2"/>
  </r>
  <r>
    <x v="858"/>
    <x v="18"/>
    <x v="2"/>
    <n v="55.9"/>
    <n v="167.7"/>
    <x v="35"/>
    <x v="40"/>
    <x v="1"/>
    <x v="3"/>
    <x v="1"/>
    <x v="0"/>
    <x v="3"/>
    <n v="6"/>
    <x v="5"/>
    <x v="1"/>
  </r>
  <r>
    <x v="859"/>
    <x v="8"/>
    <x v="2"/>
    <n v="39.200000000000003"/>
    <n v="117.60000000000001"/>
    <x v="35"/>
    <x v="31"/>
    <x v="2"/>
    <x v="0"/>
    <x v="1"/>
    <x v="0"/>
    <x v="3"/>
    <n v="2"/>
    <x v="5"/>
    <x v="2"/>
  </r>
  <r>
    <x v="860"/>
    <x v="15"/>
    <x v="12"/>
    <n v="66.5"/>
    <n v="266"/>
    <x v="35"/>
    <x v="31"/>
    <x v="0"/>
    <x v="3"/>
    <x v="1"/>
    <x v="0"/>
    <x v="3"/>
    <n v="2"/>
    <x v="5"/>
    <x v="0"/>
  </r>
  <r>
    <x v="861"/>
    <x v="6"/>
    <x v="13"/>
    <n v="52.1"/>
    <n v="312.60000000000002"/>
    <x v="35"/>
    <x v="31"/>
    <x v="1"/>
    <x v="1"/>
    <x v="1"/>
    <x v="0"/>
    <x v="16"/>
    <n v="2"/>
    <x v="5"/>
    <x v="1"/>
  </r>
  <r>
    <x v="862"/>
    <x v="8"/>
    <x v="1"/>
    <n v="19"/>
    <n v="38"/>
    <x v="35"/>
    <x v="38"/>
    <x v="1"/>
    <x v="4"/>
    <x v="2"/>
    <x v="0"/>
    <x v="6"/>
    <n v="1"/>
    <x v="5"/>
    <x v="1"/>
  </r>
  <r>
    <x v="863"/>
    <x v="7"/>
    <x v="2"/>
    <n v="84.8"/>
    <n v="254.39999999999998"/>
    <x v="35"/>
    <x v="31"/>
    <x v="2"/>
    <x v="2"/>
    <x v="0"/>
    <x v="0"/>
    <x v="8"/>
    <n v="2"/>
    <x v="5"/>
    <x v="2"/>
  </r>
  <r>
    <x v="864"/>
    <x v="2"/>
    <x v="12"/>
    <n v="63.9"/>
    <n v="255.6"/>
    <x v="35"/>
    <x v="39"/>
    <x v="2"/>
    <x v="0"/>
    <x v="0"/>
    <x v="0"/>
    <x v="8"/>
    <n v="3"/>
    <x v="5"/>
    <x v="2"/>
  </r>
  <r>
    <x v="865"/>
    <x v="2"/>
    <x v="2"/>
    <n v="65.5"/>
    <n v="196.5"/>
    <x v="35"/>
    <x v="36"/>
    <x v="2"/>
    <x v="1"/>
    <x v="1"/>
    <x v="0"/>
    <x v="8"/>
    <n v="0"/>
    <x v="5"/>
    <x v="2"/>
  </r>
  <r>
    <x v="866"/>
    <x v="12"/>
    <x v="1"/>
    <n v="116.2"/>
    <n v="232.4"/>
    <x v="35"/>
    <x v="40"/>
    <x v="1"/>
    <x v="3"/>
    <x v="0"/>
    <x v="0"/>
    <x v="17"/>
    <n v="6"/>
    <x v="5"/>
    <x v="1"/>
  </r>
  <r>
    <x v="867"/>
    <x v="10"/>
    <x v="12"/>
    <n v="22.9"/>
    <n v="91.6"/>
    <x v="35"/>
    <x v="31"/>
    <x v="2"/>
    <x v="2"/>
    <x v="1"/>
    <x v="0"/>
    <x v="38"/>
    <n v="2"/>
    <x v="5"/>
    <x v="2"/>
  </r>
  <r>
    <x v="868"/>
    <x v="10"/>
    <x v="2"/>
    <n v="53.7"/>
    <n v="161.10000000000002"/>
    <x v="35"/>
    <x v="38"/>
    <x v="1"/>
    <x v="0"/>
    <x v="4"/>
    <x v="0"/>
    <x v="18"/>
    <n v="1"/>
    <x v="5"/>
    <x v="1"/>
  </r>
  <r>
    <x v="869"/>
    <x v="6"/>
    <x v="9"/>
    <n v="43.2"/>
    <n v="216"/>
    <x v="35"/>
    <x v="31"/>
    <x v="2"/>
    <x v="0"/>
    <x v="0"/>
    <x v="0"/>
    <x v="19"/>
    <n v="2"/>
    <x v="5"/>
    <x v="2"/>
  </r>
  <r>
    <x v="870"/>
    <x v="1"/>
    <x v="2"/>
    <n v="84.5"/>
    <n v="253.5"/>
    <x v="35"/>
    <x v="31"/>
    <x v="1"/>
    <x v="2"/>
    <x v="2"/>
    <x v="0"/>
    <x v="51"/>
    <n v="2"/>
    <x v="5"/>
    <x v="1"/>
  </r>
  <r>
    <x v="871"/>
    <x v="3"/>
    <x v="1"/>
    <n v="42.2"/>
    <n v="84.4"/>
    <x v="35"/>
    <x v="38"/>
    <x v="2"/>
    <x v="1"/>
    <x v="2"/>
    <x v="0"/>
    <x v="1"/>
    <n v="1"/>
    <x v="5"/>
    <x v="2"/>
  </r>
  <r>
    <x v="872"/>
    <x v="2"/>
    <x v="13"/>
    <n v="94.7"/>
    <n v="568.20000000000005"/>
    <x v="35"/>
    <x v="39"/>
    <x v="2"/>
    <x v="1"/>
    <x v="2"/>
    <x v="0"/>
    <x v="2"/>
    <n v="3"/>
    <x v="5"/>
    <x v="2"/>
  </r>
  <r>
    <x v="873"/>
    <x v="8"/>
    <x v="16"/>
    <n v="16.7"/>
    <n v="300.59999999999997"/>
    <x v="35"/>
    <x v="43"/>
    <x v="2"/>
    <x v="0"/>
    <x v="2"/>
    <x v="0"/>
    <x v="2"/>
    <n v="12"/>
    <x v="5"/>
    <x v="2"/>
  </r>
  <r>
    <x v="874"/>
    <x v="2"/>
    <x v="1"/>
    <n v="83.6"/>
    <n v="167.2"/>
    <x v="35"/>
    <x v="40"/>
    <x v="2"/>
    <x v="1"/>
    <x v="0"/>
    <x v="0"/>
    <x v="3"/>
    <n v="6"/>
    <x v="5"/>
    <x v="2"/>
  </r>
  <r>
    <x v="875"/>
    <x v="7"/>
    <x v="13"/>
    <n v="33.6"/>
    <n v="201.60000000000002"/>
    <x v="36"/>
    <x v="31"/>
    <x v="2"/>
    <x v="3"/>
    <x v="0"/>
    <x v="0"/>
    <x v="3"/>
    <n v="1"/>
    <x v="5"/>
    <x v="2"/>
  </r>
  <r>
    <x v="876"/>
    <x v="7"/>
    <x v="1"/>
    <n v="64.7"/>
    <n v="129.4"/>
    <x v="36"/>
    <x v="39"/>
    <x v="1"/>
    <x v="1"/>
    <x v="2"/>
    <x v="0"/>
    <x v="3"/>
    <n v="2"/>
    <x v="5"/>
    <x v="1"/>
  </r>
  <r>
    <x v="877"/>
    <x v="0"/>
    <x v="2"/>
    <n v="15.7"/>
    <n v="47.099999999999994"/>
    <x v="36"/>
    <x v="44"/>
    <x v="2"/>
    <x v="0"/>
    <x v="0"/>
    <x v="0"/>
    <x v="3"/>
    <n v="6"/>
    <x v="5"/>
    <x v="2"/>
  </r>
  <r>
    <x v="878"/>
    <x v="15"/>
    <x v="13"/>
    <n v="49.4"/>
    <n v="296.39999999999998"/>
    <x v="36"/>
    <x v="38"/>
    <x v="1"/>
    <x v="1"/>
    <x v="0"/>
    <x v="0"/>
    <x v="3"/>
    <n v="0"/>
    <x v="5"/>
    <x v="1"/>
  </r>
  <r>
    <x v="879"/>
    <x v="10"/>
    <x v="13"/>
    <n v="37"/>
    <n v="222"/>
    <x v="36"/>
    <x v="35"/>
    <x v="2"/>
    <x v="1"/>
    <x v="2"/>
    <x v="0"/>
    <x v="3"/>
    <n v="3"/>
    <x v="5"/>
    <x v="2"/>
  </r>
  <r>
    <x v="880"/>
    <x v="2"/>
    <x v="1"/>
    <n v="83.7"/>
    <n v="167.4"/>
    <x v="36"/>
    <x v="39"/>
    <x v="2"/>
    <x v="3"/>
    <x v="2"/>
    <x v="0"/>
    <x v="3"/>
    <n v="2"/>
    <x v="5"/>
    <x v="2"/>
  </r>
  <r>
    <x v="881"/>
    <x v="1"/>
    <x v="9"/>
    <n v="35.1"/>
    <n v="175.5"/>
    <x v="36"/>
    <x v="31"/>
    <x v="2"/>
    <x v="0"/>
    <x v="0"/>
    <x v="0"/>
    <x v="3"/>
    <n v="1"/>
    <x v="5"/>
    <x v="2"/>
  </r>
  <r>
    <x v="882"/>
    <x v="16"/>
    <x v="8"/>
    <n v="74"/>
    <n v="592"/>
    <x v="36"/>
    <x v="31"/>
    <x v="2"/>
    <x v="4"/>
    <x v="0"/>
    <x v="0"/>
    <x v="37"/>
    <n v="1"/>
    <x v="5"/>
    <x v="2"/>
  </r>
  <r>
    <x v="883"/>
    <x v="6"/>
    <x v="25"/>
    <n v="55.5"/>
    <n v="1332"/>
    <x v="36"/>
    <x v="35"/>
    <x v="1"/>
    <x v="3"/>
    <x v="0"/>
    <x v="0"/>
    <x v="49"/>
    <n v="3"/>
    <x v="5"/>
    <x v="1"/>
  </r>
  <r>
    <x v="884"/>
    <x v="11"/>
    <x v="1"/>
    <n v="38.9"/>
    <n v="77.8"/>
    <x v="36"/>
    <x v="39"/>
    <x v="2"/>
    <x v="1"/>
    <x v="2"/>
    <x v="0"/>
    <x v="25"/>
    <n v="2"/>
    <x v="5"/>
    <x v="2"/>
  </r>
  <r>
    <x v="885"/>
    <x v="16"/>
    <x v="1"/>
    <n v="64.599999999999994"/>
    <n v="129.19999999999999"/>
    <x v="36"/>
    <x v="45"/>
    <x v="1"/>
    <x v="2"/>
    <x v="1"/>
    <x v="0"/>
    <x v="25"/>
    <n v="7"/>
    <x v="5"/>
    <x v="1"/>
  </r>
  <r>
    <x v="886"/>
    <x v="2"/>
    <x v="2"/>
    <n v="95.3"/>
    <n v="285.89999999999998"/>
    <x v="36"/>
    <x v="31"/>
    <x v="1"/>
    <x v="0"/>
    <x v="0"/>
    <x v="0"/>
    <x v="5"/>
    <n v="1"/>
    <x v="5"/>
    <x v="1"/>
  </r>
  <r>
    <x v="887"/>
    <x v="13"/>
    <x v="2"/>
    <n v="25.8"/>
    <n v="77.400000000000006"/>
    <x v="36"/>
    <x v="31"/>
    <x v="2"/>
    <x v="1"/>
    <x v="1"/>
    <x v="0"/>
    <x v="6"/>
    <n v="1"/>
    <x v="5"/>
    <x v="2"/>
  </r>
  <r>
    <x v="888"/>
    <x v="0"/>
    <x v="1"/>
    <n v="11.6"/>
    <n v="23.2"/>
    <x v="36"/>
    <x v="37"/>
    <x v="2"/>
    <x v="1"/>
    <x v="1"/>
    <x v="0"/>
    <x v="6"/>
    <n v="4"/>
    <x v="5"/>
    <x v="2"/>
  </r>
  <r>
    <x v="889"/>
    <x v="7"/>
    <x v="0"/>
    <n v="52.3"/>
    <n v="52.3"/>
    <x v="36"/>
    <x v="31"/>
    <x v="2"/>
    <x v="1"/>
    <x v="0"/>
    <x v="0"/>
    <x v="8"/>
    <n v="1"/>
    <x v="5"/>
    <x v="2"/>
  </r>
  <r>
    <x v="890"/>
    <x v="2"/>
    <x v="7"/>
    <n v="112.2"/>
    <n v="1122"/>
    <x v="36"/>
    <x v="31"/>
    <x v="2"/>
    <x v="1"/>
    <x v="1"/>
    <x v="0"/>
    <x v="8"/>
    <n v="1"/>
    <x v="5"/>
    <x v="2"/>
  </r>
  <r>
    <x v="891"/>
    <x v="4"/>
    <x v="9"/>
    <n v="34.6"/>
    <n v="173"/>
    <x v="36"/>
    <x v="39"/>
    <x v="1"/>
    <x v="2"/>
    <x v="0"/>
    <x v="0"/>
    <x v="8"/>
    <n v="2"/>
    <x v="5"/>
    <x v="1"/>
  </r>
  <r>
    <x v="892"/>
    <x v="14"/>
    <x v="12"/>
    <n v="20.100000000000001"/>
    <n v="80.400000000000006"/>
    <x v="36"/>
    <x v="44"/>
    <x v="1"/>
    <x v="1"/>
    <x v="2"/>
    <x v="0"/>
    <x v="8"/>
    <n v="6"/>
    <x v="5"/>
    <x v="1"/>
  </r>
  <r>
    <x v="893"/>
    <x v="2"/>
    <x v="12"/>
    <n v="56.4"/>
    <n v="225.6"/>
    <x v="36"/>
    <x v="39"/>
    <x v="2"/>
    <x v="2"/>
    <x v="0"/>
    <x v="0"/>
    <x v="10"/>
    <n v="2"/>
    <x v="5"/>
    <x v="2"/>
  </r>
  <r>
    <x v="894"/>
    <x v="13"/>
    <x v="11"/>
    <n v="55.3"/>
    <n v="497.7"/>
    <x v="36"/>
    <x v="39"/>
    <x v="2"/>
    <x v="1"/>
    <x v="4"/>
    <x v="0"/>
    <x v="11"/>
    <n v="2"/>
    <x v="5"/>
    <x v="2"/>
  </r>
  <r>
    <x v="895"/>
    <x v="2"/>
    <x v="31"/>
    <n v="75.5"/>
    <n v="2114"/>
    <x v="36"/>
    <x v="31"/>
    <x v="2"/>
    <x v="0"/>
    <x v="0"/>
    <x v="0"/>
    <x v="11"/>
    <n v="1"/>
    <x v="5"/>
    <x v="2"/>
  </r>
  <r>
    <x v="896"/>
    <x v="8"/>
    <x v="0"/>
    <n v="23.6"/>
    <n v="23.6"/>
    <x v="36"/>
    <x v="40"/>
    <x v="2"/>
    <x v="0"/>
    <x v="0"/>
    <x v="0"/>
    <x v="19"/>
    <n v="5"/>
    <x v="5"/>
    <x v="2"/>
  </r>
  <r>
    <x v="897"/>
    <x v="9"/>
    <x v="1"/>
    <n v="70.7"/>
    <n v="141.4"/>
    <x v="36"/>
    <x v="39"/>
    <x v="2"/>
    <x v="2"/>
    <x v="0"/>
    <x v="0"/>
    <x v="19"/>
    <n v="2"/>
    <x v="5"/>
    <x v="2"/>
  </r>
  <r>
    <x v="898"/>
    <x v="12"/>
    <x v="1"/>
    <n v="43.2"/>
    <n v="86.4"/>
    <x v="36"/>
    <x v="31"/>
    <x v="2"/>
    <x v="2"/>
    <x v="0"/>
    <x v="0"/>
    <x v="31"/>
    <n v="1"/>
    <x v="5"/>
    <x v="2"/>
  </r>
  <r>
    <x v="899"/>
    <x v="9"/>
    <x v="11"/>
    <n v="70"/>
    <n v="630"/>
    <x v="36"/>
    <x v="31"/>
    <x v="0"/>
    <x v="1"/>
    <x v="0"/>
    <x v="0"/>
    <x v="52"/>
    <n v="1"/>
    <x v="5"/>
    <x v="0"/>
  </r>
  <r>
    <x v="900"/>
    <x v="0"/>
    <x v="1"/>
    <n v="20.5"/>
    <n v="41"/>
    <x v="36"/>
    <x v="39"/>
    <x v="2"/>
    <x v="2"/>
    <x v="4"/>
    <x v="0"/>
    <x v="13"/>
    <n v="2"/>
    <x v="5"/>
    <x v="2"/>
  </r>
  <r>
    <x v="901"/>
    <x v="0"/>
    <x v="12"/>
    <n v="29.1"/>
    <n v="116.4"/>
    <x v="36"/>
    <x v="31"/>
    <x v="2"/>
    <x v="3"/>
    <x v="0"/>
    <x v="0"/>
    <x v="28"/>
    <n v="1"/>
    <x v="5"/>
    <x v="2"/>
  </r>
  <r>
    <x v="902"/>
    <x v="6"/>
    <x v="11"/>
    <n v="53.6"/>
    <n v="482.40000000000003"/>
    <x v="36"/>
    <x v="31"/>
    <x v="1"/>
    <x v="2"/>
    <x v="1"/>
    <x v="0"/>
    <x v="3"/>
    <n v="1"/>
    <x v="5"/>
    <x v="1"/>
  </r>
  <r>
    <x v="903"/>
    <x v="6"/>
    <x v="9"/>
    <n v="72.3"/>
    <n v="361.5"/>
    <x v="36"/>
    <x v="39"/>
    <x v="2"/>
    <x v="1"/>
    <x v="0"/>
    <x v="0"/>
    <x v="3"/>
    <n v="2"/>
    <x v="5"/>
    <x v="2"/>
  </r>
  <r>
    <x v="904"/>
    <x v="13"/>
    <x v="12"/>
    <n v="22.6"/>
    <n v="90.4"/>
    <x v="36"/>
    <x v="35"/>
    <x v="3"/>
    <x v="0"/>
    <x v="1"/>
    <x v="0"/>
    <x v="3"/>
    <n v="3"/>
    <x v="5"/>
    <x v="3"/>
  </r>
  <r>
    <x v="905"/>
    <x v="9"/>
    <x v="1"/>
    <n v="44.2"/>
    <n v="88.4"/>
    <x v="36"/>
    <x v="37"/>
    <x v="0"/>
    <x v="2"/>
    <x v="4"/>
    <x v="0"/>
    <x v="3"/>
    <n v="4"/>
    <x v="5"/>
    <x v="0"/>
  </r>
  <r>
    <x v="906"/>
    <x v="9"/>
    <x v="2"/>
    <n v="94.1"/>
    <n v="282.29999999999995"/>
    <x v="36"/>
    <x v="46"/>
    <x v="2"/>
    <x v="2"/>
    <x v="2"/>
    <x v="0"/>
    <x v="3"/>
    <n v="13"/>
    <x v="5"/>
    <x v="2"/>
  </r>
  <r>
    <x v="907"/>
    <x v="8"/>
    <x v="2"/>
    <n v="17.899999999999999"/>
    <n v="53.699999999999996"/>
    <x v="36"/>
    <x v="39"/>
    <x v="1"/>
    <x v="1"/>
    <x v="1"/>
    <x v="0"/>
    <x v="3"/>
    <n v="2"/>
    <x v="5"/>
    <x v="1"/>
  </r>
  <r>
    <x v="908"/>
    <x v="12"/>
    <x v="3"/>
    <n v="52.7"/>
    <n v="368.90000000000003"/>
    <x v="36"/>
    <x v="31"/>
    <x v="1"/>
    <x v="1"/>
    <x v="1"/>
    <x v="0"/>
    <x v="3"/>
    <n v="1"/>
    <x v="5"/>
    <x v="1"/>
  </r>
  <r>
    <x v="909"/>
    <x v="8"/>
    <x v="0"/>
    <n v="36.799999999999997"/>
    <n v="36.799999999999997"/>
    <x v="36"/>
    <x v="38"/>
    <x v="0"/>
    <x v="0"/>
    <x v="2"/>
    <x v="0"/>
    <x v="3"/>
    <n v="0"/>
    <x v="5"/>
    <x v="0"/>
  </r>
  <r>
    <x v="910"/>
    <x v="4"/>
    <x v="0"/>
    <n v="52.5"/>
    <n v="52.5"/>
    <x v="36"/>
    <x v="31"/>
    <x v="1"/>
    <x v="0"/>
    <x v="1"/>
    <x v="0"/>
    <x v="6"/>
    <n v="1"/>
    <x v="5"/>
    <x v="1"/>
  </r>
  <r>
    <x v="911"/>
    <x v="2"/>
    <x v="1"/>
    <n v="133.80000000000001"/>
    <n v="267.60000000000002"/>
    <x v="36"/>
    <x v="39"/>
    <x v="1"/>
    <x v="0"/>
    <x v="1"/>
    <x v="0"/>
    <x v="7"/>
    <n v="2"/>
    <x v="5"/>
    <x v="1"/>
  </r>
  <r>
    <x v="912"/>
    <x v="6"/>
    <x v="1"/>
    <n v="53.2"/>
    <n v="106.4"/>
    <x v="36"/>
    <x v="39"/>
    <x v="1"/>
    <x v="0"/>
    <x v="0"/>
    <x v="0"/>
    <x v="17"/>
    <n v="2"/>
    <x v="5"/>
    <x v="1"/>
  </r>
  <r>
    <x v="913"/>
    <x v="14"/>
    <x v="13"/>
    <n v="18.7"/>
    <n v="112.19999999999999"/>
    <x v="36"/>
    <x v="39"/>
    <x v="0"/>
    <x v="0"/>
    <x v="1"/>
    <x v="0"/>
    <x v="10"/>
    <n v="2"/>
    <x v="5"/>
    <x v="0"/>
  </r>
  <r>
    <x v="914"/>
    <x v="6"/>
    <x v="12"/>
    <n v="108.8"/>
    <n v="435.2"/>
    <x v="36"/>
    <x v="31"/>
    <x v="2"/>
    <x v="3"/>
    <x v="2"/>
    <x v="0"/>
    <x v="11"/>
    <n v="1"/>
    <x v="5"/>
    <x v="2"/>
  </r>
  <r>
    <x v="915"/>
    <x v="15"/>
    <x v="9"/>
    <n v="38.5"/>
    <n v="192.5"/>
    <x v="36"/>
    <x v="37"/>
    <x v="2"/>
    <x v="0"/>
    <x v="1"/>
    <x v="0"/>
    <x v="14"/>
    <n v="4"/>
    <x v="5"/>
    <x v="2"/>
  </r>
  <r>
    <x v="916"/>
    <x v="10"/>
    <x v="7"/>
    <n v="46.5"/>
    <n v="465"/>
    <x v="36"/>
    <x v="39"/>
    <x v="1"/>
    <x v="2"/>
    <x v="1"/>
    <x v="0"/>
    <x v="2"/>
    <n v="2"/>
    <x v="5"/>
    <x v="1"/>
  </r>
  <r>
    <x v="917"/>
    <x v="2"/>
    <x v="2"/>
    <n v="75.8"/>
    <n v="227.39999999999998"/>
    <x v="36"/>
    <x v="37"/>
    <x v="2"/>
    <x v="1"/>
    <x v="4"/>
    <x v="0"/>
    <x v="44"/>
    <n v="4"/>
    <x v="5"/>
    <x v="2"/>
  </r>
  <r>
    <x v="918"/>
    <x v="8"/>
    <x v="0"/>
    <n v="20.9"/>
    <n v="20.9"/>
    <x v="36"/>
    <x v="37"/>
    <x v="1"/>
    <x v="0"/>
    <x v="0"/>
    <x v="0"/>
    <x v="22"/>
    <n v="4"/>
    <x v="5"/>
    <x v="1"/>
  </r>
  <r>
    <x v="919"/>
    <x v="18"/>
    <x v="2"/>
    <n v="47.4"/>
    <n v="142.19999999999999"/>
    <x v="36"/>
    <x v="35"/>
    <x v="2"/>
    <x v="0"/>
    <x v="0"/>
    <x v="0"/>
    <x v="3"/>
    <n v="3"/>
    <x v="5"/>
    <x v="2"/>
  </r>
  <r>
    <x v="920"/>
    <x v="9"/>
    <x v="1"/>
    <n v="53.8"/>
    <n v="107.6"/>
    <x v="36"/>
    <x v="31"/>
    <x v="0"/>
    <x v="0"/>
    <x v="1"/>
    <x v="0"/>
    <x v="3"/>
    <n v="1"/>
    <x v="5"/>
    <x v="0"/>
  </r>
  <r>
    <x v="921"/>
    <x v="8"/>
    <x v="2"/>
    <n v="24.6"/>
    <n v="73.800000000000011"/>
    <x v="36"/>
    <x v="39"/>
    <x v="3"/>
    <x v="1"/>
    <x v="2"/>
    <x v="0"/>
    <x v="3"/>
    <n v="2"/>
    <x v="5"/>
    <x v="3"/>
  </r>
  <r>
    <x v="922"/>
    <x v="9"/>
    <x v="2"/>
    <n v="70.900000000000006"/>
    <n v="212.70000000000002"/>
    <x v="36"/>
    <x v="40"/>
    <x v="2"/>
    <x v="2"/>
    <x v="2"/>
    <x v="0"/>
    <x v="3"/>
    <n v="5"/>
    <x v="5"/>
    <x v="2"/>
  </r>
  <r>
    <x v="923"/>
    <x v="17"/>
    <x v="2"/>
    <n v="31.9"/>
    <n v="95.699999999999989"/>
    <x v="36"/>
    <x v="39"/>
    <x v="2"/>
    <x v="2"/>
    <x v="2"/>
    <x v="0"/>
    <x v="3"/>
    <n v="2"/>
    <x v="5"/>
    <x v="2"/>
  </r>
  <r>
    <x v="924"/>
    <x v="0"/>
    <x v="1"/>
    <n v="20.399999999999999"/>
    <n v="40.799999999999997"/>
    <x v="36"/>
    <x v="37"/>
    <x v="1"/>
    <x v="3"/>
    <x v="2"/>
    <x v="0"/>
    <x v="3"/>
    <n v="4"/>
    <x v="5"/>
    <x v="1"/>
  </r>
  <r>
    <x v="925"/>
    <x v="8"/>
    <x v="1"/>
    <n v="18.600000000000001"/>
    <n v="37.200000000000003"/>
    <x v="36"/>
    <x v="39"/>
    <x v="0"/>
    <x v="0"/>
    <x v="1"/>
    <x v="0"/>
    <x v="3"/>
    <n v="2"/>
    <x v="5"/>
    <x v="0"/>
  </r>
  <r>
    <x v="926"/>
    <x v="4"/>
    <x v="9"/>
    <n v="48.3"/>
    <n v="241.5"/>
    <x v="36"/>
    <x v="39"/>
    <x v="2"/>
    <x v="1"/>
    <x v="0"/>
    <x v="0"/>
    <x v="3"/>
    <n v="2"/>
    <x v="5"/>
    <x v="2"/>
  </r>
  <r>
    <x v="927"/>
    <x v="0"/>
    <x v="12"/>
    <n v="27.7"/>
    <n v="110.8"/>
    <x v="36"/>
    <x v="39"/>
    <x v="2"/>
    <x v="0"/>
    <x v="0"/>
    <x v="0"/>
    <x v="3"/>
    <n v="2"/>
    <x v="5"/>
    <x v="2"/>
  </r>
  <r>
    <x v="928"/>
    <x v="4"/>
    <x v="9"/>
    <n v="22.5"/>
    <n v="112.5"/>
    <x v="36"/>
    <x v="39"/>
    <x v="2"/>
    <x v="4"/>
    <x v="2"/>
    <x v="0"/>
    <x v="3"/>
    <n v="2"/>
    <x v="5"/>
    <x v="2"/>
  </r>
  <r>
    <x v="929"/>
    <x v="17"/>
    <x v="9"/>
    <n v="21.6"/>
    <n v="108"/>
    <x v="36"/>
    <x v="42"/>
    <x v="2"/>
    <x v="0"/>
    <x v="1"/>
    <x v="0"/>
    <x v="3"/>
    <n v="8"/>
    <x v="5"/>
    <x v="2"/>
  </r>
  <r>
    <x v="930"/>
    <x v="10"/>
    <x v="3"/>
    <n v="26.3"/>
    <n v="184.1"/>
    <x v="36"/>
    <x v="38"/>
    <x v="2"/>
    <x v="2"/>
    <x v="1"/>
    <x v="0"/>
    <x v="3"/>
    <n v="0"/>
    <x v="5"/>
    <x v="2"/>
  </r>
  <r>
    <x v="931"/>
    <x v="6"/>
    <x v="3"/>
    <n v="103"/>
    <n v="721"/>
    <x v="37"/>
    <x v="39"/>
    <x v="1"/>
    <x v="0"/>
    <x v="2"/>
    <x v="0"/>
    <x v="6"/>
    <n v="1"/>
    <x v="5"/>
    <x v="1"/>
  </r>
  <r>
    <x v="932"/>
    <x v="5"/>
    <x v="20"/>
    <n v="46.6"/>
    <n v="699"/>
    <x v="37"/>
    <x v="39"/>
    <x v="2"/>
    <x v="0"/>
    <x v="1"/>
    <x v="0"/>
    <x v="6"/>
    <n v="1"/>
    <x v="5"/>
    <x v="2"/>
  </r>
  <r>
    <x v="933"/>
    <x v="0"/>
    <x v="9"/>
    <n v="32.200000000000003"/>
    <n v="161"/>
    <x v="37"/>
    <x v="37"/>
    <x v="2"/>
    <x v="0"/>
    <x v="2"/>
    <x v="0"/>
    <x v="36"/>
    <n v="3"/>
    <x v="5"/>
    <x v="2"/>
  </r>
  <r>
    <x v="934"/>
    <x v="8"/>
    <x v="2"/>
    <n v="22"/>
    <n v="66"/>
    <x v="37"/>
    <x v="42"/>
    <x v="1"/>
    <x v="1"/>
    <x v="0"/>
    <x v="0"/>
    <x v="7"/>
    <n v="7"/>
    <x v="5"/>
    <x v="1"/>
  </r>
  <r>
    <x v="935"/>
    <x v="0"/>
    <x v="1"/>
    <n v="25.2"/>
    <n v="50.4"/>
    <x v="37"/>
    <x v="40"/>
    <x v="2"/>
    <x v="0"/>
    <x v="0"/>
    <x v="0"/>
    <x v="7"/>
    <n v="4"/>
    <x v="5"/>
    <x v="2"/>
  </r>
  <r>
    <x v="936"/>
    <x v="1"/>
    <x v="13"/>
    <n v="68.7"/>
    <n v="412.20000000000005"/>
    <x v="37"/>
    <x v="35"/>
    <x v="1"/>
    <x v="4"/>
    <x v="0"/>
    <x v="0"/>
    <x v="8"/>
    <n v="2"/>
    <x v="5"/>
    <x v="1"/>
  </r>
  <r>
    <x v="937"/>
    <x v="0"/>
    <x v="2"/>
    <n v="22.2"/>
    <n v="66.599999999999994"/>
    <x v="37"/>
    <x v="37"/>
    <x v="1"/>
    <x v="2"/>
    <x v="2"/>
    <x v="0"/>
    <x v="8"/>
    <n v="3"/>
    <x v="5"/>
    <x v="1"/>
  </r>
  <r>
    <x v="938"/>
    <x v="1"/>
    <x v="3"/>
    <n v="36"/>
    <n v="252"/>
    <x v="37"/>
    <x v="39"/>
    <x v="2"/>
    <x v="1"/>
    <x v="0"/>
    <x v="0"/>
    <x v="8"/>
    <n v="1"/>
    <x v="5"/>
    <x v="2"/>
  </r>
  <r>
    <x v="939"/>
    <x v="18"/>
    <x v="0"/>
    <n v="50.6"/>
    <n v="50.6"/>
    <x v="37"/>
    <x v="35"/>
    <x v="2"/>
    <x v="0"/>
    <x v="1"/>
    <x v="0"/>
    <x v="8"/>
    <n v="2"/>
    <x v="5"/>
    <x v="2"/>
  </r>
  <r>
    <x v="940"/>
    <x v="15"/>
    <x v="1"/>
    <n v="44.9"/>
    <n v="89.8"/>
    <x v="37"/>
    <x v="35"/>
    <x v="1"/>
    <x v="0"/>
    <x v="1"/>
    <x v="0"/>
    <x v="8"/>
    <n v="2"/>
    <x v="5"/>
    <x v="1"/>
  </r>
  <r>
    <x v="941"/>
    <x v="6"/>
    <x v="2"/>
    <n v="71.599999999999994"/>
    <n v="214.79999999999998"/>
    <x v="37"/>
    <x v="40"/>
    <x v="1"/>
    <x v="1"/>
    <x v="2"/>
    <x v="0"/>
    <x v="10"/>
    <n v="4"/>
    <x v="5"/>
    <x v="1"/>
  </r>
  <r>
    <x v="942"/>
    <x v="6"/>
    <x v="13"/>
    <n v="51.5"/>
    <n v="309"/>
    <x v="37"/>
    <x v="35"/>
    <x v="0"/>
    <x v="4"/>
    <x v="0"/>
    <x v="0"/>
    <x v="11"/>
    <n v="2"/>
    <x v="5"/>
    <x v="0"/>
  </r>
  <r>
    <x v="943"/>
    <x v="7"/>
    <x v="9"/>
    <n v="55.5"/>
    <n v="277.5"/>
    <x v="37"/>
    <x v="39"/>
    <x v="1"/>
    <x v="1"/>
    <x v="1"/>
    <x v="0"/>
    <x v="11"/>
    <n v="1"/>
    <x v="5"/>
    <x v="1"/>
  </r>
  <r>
    <x v="944"/>
    <x v="6"/>
    <x v="0"/>
    <n v="51.7"/>
    <n v="51.7"/>
    <x v="37"/>
    <x v="47"/>
    <x v="1"/>
    <x v="2"/>
    <x v="0"/>
    <x v="0"/>
    <x v="19"/>
    <n v="14"/>
    <x v="5"/>
    <x v="1"/>
  </r>
  <r>
    <x v="945"/>
    <x v="8"/>
    <x v="38"/>
    <n v="45.5"/>
    <n v="955.5"/>
    <x v="37"/>
    <x v="39"/>
    <x v="2"/>
    <x v="3"/>
    <x v="2"/>
    <x v="0"/>
    <x v="19"/>
    <n v="1"/>
    <x v="5"/>
    <x v="2"/>
  </r>
  <r>
    <x v="946"/>
    <x v="8"/>
    <x v="1"/>
    <n v="33.799999999999997"/>
    <n v="67.599999999999994"/>
    <x v="37"/>
    <x v="45"/>
    <x v="2"/>
    <x v="3"/>
    <x v="0"/>
    <x v="0"/>
    <x v="20"/>
    <n v="6"/>
    <x v="5"/>
    <x v="2"/>
  </r>
  <r>
    <x v="947"/>
    <x v="3"/>
    <x v="2"/>
    <n v="76.5"/>
    <n v="229.5"/>
    <x v="37"/>
    <x v="39"/>
    <x v="2"/>
    <x v="0"/>
    <x v="1"/>
    <x v="0"/>
    <x v="21"/>
    <n v="1"/>
    <x v="5"/>
    <x v="2"/>
  </r>
  <r>
    <x v="948"/>
    <x v="9"/>
    <x v="2"/>
    <n v="42.6"/>
    <n v="127.80000000000001"/>
    <x v="37"/>
    <x v="45"/>
    <x v="2"/>
    <x v="2"/>
    <x v="2"/>
    <x v="0"/>
    <x v="2"/>
    <n v="6"/>
    <x v="5"/>
    <x v="2"/>
  </r>
  <r>
    <x v="949"/>
    <x v="6"/>
    <x v="2"/>
    <n v="44.1"/>
    <n v="132.30000000000001"/>
    <x v="37"/>
    <x v="35"/>
    <x v="2"/>
    <x v="1"/>
    <x v="1"/>
    <x v="0"/>
    <x v="22"/>
    <n v="2"/>
    <x v="5"/>
    <x v="2"/>
  </r>
  <r>
    <x v="950"/>
    <x v="8"/>
    <x v="1"/>
    <n v="40.9"/>
    <n v="81.8"/>
    <x v="37"/>
    <x v="40"/>
    <x v="1"/>
    <x v="0"/>
    <x v="0"/>
    <x v="0"/>
    <x v="3"/>
    <n v="4"/>
    <x v="5"/>
    <x v="1"/>
  </r>
  <r>
    <x v="951"/>
    <x v="9"/>
    <x v="2"/>
    <n v="49.1"/>
    <n v="147.30000000000001"/>
    <x v="37"/>
    <x v="40"/>
    <x v="2"/>
    <x v="3"/>
    <x v="1"/>
    <x v="0"/>
    <x v="3"/>
    <n v="4"/>
    <x v="5"/>
    <x v="2"/>
  </r>
  <r>
    <x v="952"/>
    <x v="18"/>
    <x v="0"/>
    <n v="85.3"/>
    <n v="85.3"/>
    <x v="37"/>
    <x v="40"/>
    <x v="1"/>
    <x v="1"/>
    <x v="1"/>
    <x v="0"/>
    <x v="3"/>
    <n v="4"/>
    <x v="5"/>
    <x v="1"/>
  </r>
  <r>
    <x v="953"/>
    <x v="6"/>
    <x v="12"/>
    <n v="43.1"/>
    <n v="172.4"/>
    <x v="38"/>
    <x v="40"/>
    <x v="1"/>
    <x v="0"/>
    <x v="0"/>
    <x v="0"/>
    <x v="3"/>
    <n v="3"/>
    <x v="5"/>
    <x v="1"/>
  </r>
  <r>
    <x v="954"/>
    <x v="4"/>
    <x v="12"/>
    <n v="46.2"/>
    <n v="184.8"/>
    <x v="38"/>
    <x v="35"/>
    <x v="1"/>
    <x v="2"/>
    <x v="0"/>
    <x v="0"/>
    <x v="3"/>
    <n v="1"/>
    <x v="5"/>
    <x v="1"/>
  </r>
  <r>
    <x v="955"/>
    <x v="1"/>
    <x v="0"/>
    <n v="74.400000000000006"/>
    <n v="74.400000000000006"/>
    <x v="38"/>
    <x v="37"/>
    <x v="1"/>
    <x v="4"/>
    <x v="2"/>
    <x v="0"/>
    <x v="3"/>
    <n v="2"/>
    <x v="5"/>
    <x v="1"/>
  </r>
  <r>
    <x v="956"/>
    <x v="17"/>
    <x v="1"/>
    <n v="51.2"/>
    <n v="102.4"/>
    <x v="38"/>
    <x v="35"/>
    <x v="1"/>
    <x v="1"/>
    <x v="0"/>
    <x v="0"/>
    <x v="3"/>
    <n v="1"/>
    <x v="5"/>
    <x v="1"/>
  </r>
  <r>
    <x v="957"/>
    <x v="14"/>
    <x v="12"/>
    <n v="11.8"/>
    <n v="47.2"/>
    <x v="38"/>
    <x v="39"/>
    <x v="1"/>
    <x v="2"/>
    <x v="0"/>
    <x v="0"/>
    <x v="3"/>
    <n v="0"/>
    <x v="5"/>
    <x v="1"/>
  </r>
  <r>
    <x v="958"/>
    <x v="10"/>
    <x v="6"/>
    <n v="40.799999999999997"/>
    <n v="1101.5999999999999"/>
    <x v="38"/>
    <x v="35"/>
    <x v="2"/>
    <x v="3"/>
    <x v="2"/>
    <x v="0"/>
    <x v="3"/>
    <n v="1"/>
    <x v="5"/>
    <x v="2"/>
  </r>
  <r>
    <x v="959"/>
    <x v="8"/>
    <x v="0"/>
    <n v="24.7"/>
    <n v="24.7"/>
    <x v="38"/>
    <x v="37"/>
    <x v="2"/>
    <x v="2"/>
    <x v="1"/>
    <x v="0"/>
    <x v="3"/>
    <n v="2"/>
    <x v="5"/>
    <x v="2"/>
  </r>
  <r>
    <x v="960"/>
    <x v="8"/>
    <x v="3"/>
    <n v="22.1"/>
    <n v="154.70000000000002"/>
    <x v="38"/>
    <x v="39"/>
    <x v="2"/>
    <x v="2"/>
    <x v="4"/>
    <x v="0"/>
    <x v="3"/>
    <n v="0"/>
    <x v="5"/>
    <x v="2"/>
  </r>
  <r>
    <x v="961"/>
    <x v="8"/>
    <x v="0"/>
    <n v="18.100000000000001"/>
    <n v="18.100000000000001"/>
    <x v="38"/>
    <x v="44"/>
    <x v="1"/>
    <x v="3"/>
    <x v="2"/>
    <x v="0"/>
    <x v="3"/>
    <n v="4"/>
    <x v="5"/>
    <x v="1"/>
  </r>
  <r>
    <x v="962"/>
    <x v="17"/>
    <x v="1"/>
    <n v="58.8"/>
    <n v="117.6"/>
    <x v="38"/>
    <x v="40"/>
    <x v="2"/>
    <x v="0"/>
    <x v="0"/>
    <x v="0"/>
    <x v="25"/>
    <n v="3"/>
    <x v="5"/>
    <x v="2"/>
  </r>
  <r>
    <x v="963"/>
    <x v="18"/>
    <x v="1"/>
    <n v="30.8"/>
    <n v="61.6"/>
    <x v="38"/>
    <x v="35"/>
    <x v="2"/>
    <x v="0"/>
    <x v="0"/>
    <x v="0"/>
    <x v="6"/>
    <n v="1"/>
    <x v="5"/>
    <x v="2"/>
  </r>
  <r>
    <x v="964"/>
    <x v="0"/>
    <x v="1"/>
    <n v="12"/>
    <n v="24"/>
    <x v="38"/>
    <x v="44"/>
    <x v="2"/>
    <x v="0"/>
    <x v="0"/>
    <x v="0"/>
    <x v="6"/>
    <n v="4"/>
    <x v="5"/>
    <x v="2"/>
  </r>
  <r>
    <x v="965"/>
    <x v="0"/>
    <x v="12"/>
    <n v="13.6"/>
    <n v="54.4"/>
    <x v="38"/>
    <x v="40"/>
    <x v="1"/>
    <x v="2"/>
    <x v="0"/>
    <x v="0"/>
    <x v="6"/>
    <n v="3"/>
    <x v="5"/>
    <x v="1"/>
  </r>
  <r>
    <x v="966"/>
    <x v="0"/>
    <x v="0"/>
    <n v="17.899999999999999"/>
    <n v="17.899999999999999"/>
    <x v="38"/>
    <x v="35"/>
    <x v="1"/>
    <x v="3"/>
    <x v="0"/>
    <x v="0"/>
    <x v="6"/>
    <n v="1"/>
    <x v="5"/>
    <x v="1"/>
  </r>
  <r>
    <x v="967"/>
    <x v="9"/>
    <x v="1"/>
    <n v="38.6"/>
    <n v="77.2"/>
    <x v="38"/>
    <x v="44"/>
    <x v="2"/>
    <x v="4"/>
    <x v="0"/>
    <x v="0"/>
    <x v="7"/>
    <n v="4"/>
    <x v="5"/>
    <x v="2"/>
  </r>
  <r>
    <x v="968"/>
    <x v="5"/>
    <x v="9"/>
    <n v="32.700000000000003"/>
    <n v="163.5"/>
    <x v="38"/>
    <x v="35"/>
    <x v="1"/>
    <x v="2"/>
    <x v="2"/>
    <x v="0"/>
    <x v="8"/>
    <n v="1"/>
    <x v="5"/>
    <x v="1"/>
  </r>
  <r>
    <x v="969"/>
    <x v="3"/>
    <x v="1"/>
    <n v="111.4"/>
    <n v="222.8"/>
    <x v="38"/>
    <x v="35"/>
    <x v="2"/>
    <x v="1"/>
    <x v="0"/>
    <x v="0"/>
    <x v="8"/>
    <n v="1"/>
    <x v="5"/>
    <x v="2"/>
  </r>
  <r>
    <x v="970"/>
    <x v="2"/>
    <x v="13"/>
    <n v="80.3"/>
    <n v="481.79999999999995"/>
    <x v="38"/>
    <x v="37"/>
    <x v="2"/>
    <x v="1"/>
    <x v="0"/>
    <x v="0"/>
    <x v="8"/>
    <n v="2"/>
    <x v="5"/>
    <x v="2"/>
  </r>
  <r>
    <x v="971"/>
    <x v="6"/>
    <x v="1"/>
    <n v="58.9"/>
    <n v="117.8"/>
    <x v="38"/>
    <x v="35"/>
    <x v="1"/>
    <x v="1"/>
    <x v="0"/>
    <x v="0"/>
    <x v="8"/>
    <n v="1"/>
    <x v="5"/>
    <x v="1"/>
  </r>
  <r>
    <x v="972"/>
    <x v="6"/>
    <x v="2"/>
    <n v="51.9"/>
    <n v="155.69999999999999"/>
    <x v="38"/>
    <x v="37"/>
    <x v="2"/>
    <x v="1"/>
    <x v="4"/>
    <x v="0"/>
    <x v="8"/>
    <n v="2"/>
    <x v="5"/>
    <x v="2"/>
  </r>
  <r>
    <x v="973"/>
    <x v="2"/>
    <x v="2"/>
    <n v="50.3"/>
    <n v="150.89999999999998"/>
    <x v="38"/>
    <x v="35"/>
    <x v="1"/>
    <x v="2"/>
    <x v="0"/>
    <x v="0"/>
    <x v="17"/>
    <n v="1"/>
    <x v="5"/>
    <x v="1"/>
  </r>
  <r>
    <x v="974"/>
    <x v="11"/>
    <x v="13"/>
    <n v="45"/>
    <n v="270"/>
    <x v="38"/>
    <x v="42"/>
    <x v="2"/>
    <x v="3"/>
    <x v="0"/>
    <x v="0"/>
    <x v="9"/>
    <n v="6"/>
    <x v="5"/>
    <x v="2"/>
  </r>
  <r>
    <x v="975"/>
    <x v="10"/>
    <x v="13"/>
    <n v="44.7"/>
    <n v="268.20000000000005"/>
    <x v="38"/>
    <x v="37"/>
    <x v="2"/>
    <x v="2"/>
    <x v="0"/>
    <x v="0"/>
    <x v="11"/>
    <n v="2"/>
    <x v="5"/>
    <x v="2"/>
  </r>
  <r>
    <x v="976"/>
    <x v="18"/>
    <x v="20"/>
    <n v="33"/>
    <n v="495"/>
    <x v="38"/>
    <x v="35"/>
    <x v="2"/>
    <x v="2"/>
    <x v="0"/>
    <x v="0"/>
    <x v="11"/>
    <n v="1"/>
    <x v="5"/>
    <x v="2"/>
  </r>
  <r>
    <x v="977"/>
    <x v="1"/>
    <x v="9"/>
    <n v="44.9"/>
    <n v="224.5"/>
    <x v="38"/>
    <x v="40"/>
    <x v="2"/>
    <x v="2"/>
    <x v="2"/>
    <x v="0"/>
    <x v="18"/>
    <n v="3"/>
    <x v="5"/>
    <x v="2"/>
  </r>
  <r>
    <x v="978"/>
    <x v="10"/>
    <x v="1"/>
    <n v="34.6"/>
    <n v="69.2"/>
    <x v="38"/>
    <x v="44"/>
    <x v="2"/>
    <x v="0"/>
    <x v="1"/>
    <x v="0"/>
    <x v="19"/>
    <n v="4"/>
    <x v="5"/>
    <x v="2"/>
  </r>
  <r>
    <x v="979"/>
    <x v="7"/>
    <x v="3"/>
    <n v="47.1"/>
    <n v="329.7"/>
    <x v="38"/>
    <x v="45"/>
    <x v="2"/>
    <x v="0"/>
    <x v="0"/>
    <x v="0"/>
    <x v="13"/>
    <n v="5"/>
    <x v="5"/>
    <x v="2"/>
  </r>
  <r>
    <x v="980"/>
    <x v="4"/>
    <x v="9"/>
    <n v="26.1"/>
    <n v="130.5"/>
    <x v="38"/>
    <x v="45"/>
    <x v="1"/>
    <x v="0"/>
    <x v="2"/>
    <x v="0"/>
    <x v="21"/>
    <n v="5"/>
    <x v="5"/>
    <x v="1"/>
  </r>
  <r>
    <x v="981"/>
    <x v="12"/>
    <x v="9"/>
    <n v="66.8"/>
    <n v="334"/>
    <x v="38"/>
    <x v="40"/>
    <x v="2"/>
    <x v="0"/>
    <x v="0"/>
    <x v="0"/>
    <x v="21"/>
    <n v="3"/>
    <x v="5"/>
    <x v="2"/>
  </r>
  <r>
    <x v="982"/>
    <x v="2"/>
    <x v="1"/>
    <n v="167.9"/>
    <n v="335.8"/>
    <x v="38"/>
    <x v="35"/>
    <x v="2"/>
    <x v="3"/>
    <x v="2"/>
    <x v="0"/>
    <x v="21"/>
    <n v="1"/>
    <x v="5"/>
    <x v="2"/>
  </r>
  <r>
    <x v="983"/>
    <x v="10"/>
    <x v="11"/>
    <n v="34.6"/>
    <n v="311.40000000000003"/>
    <x v="38"/>
    <x v="35"/>
    <x v="2"/>
    <x v="2"/>
    <x v="1"/>
    <x v="0"/>
    <x v="21"/>
    <n v="1"/>
    <x v="5"/>
    <x v="2"/>
  </r>
  <r>
    <x v="984"/>
    <x v="8"/>
    <x v="2"/>
    <n v="35.1"/>
    <n v="105.30000000000001"/>
    <x v="39"/>
    <x v="45"/>
    <x v="1"/>
    <x v="4"/>
    <x v="2"/>
    <x v="0"/>
    <x v="1"/>
    <n v="4"/>
    <x v="6"/>
    <x v="1"/>
  </r>
  <r>
    <x v="985"/>
    <x v="6"/>
    <x v="12"/>
    <n v="104.5"/>
    <n v="418"/>
    <x v="39"/>
    <x v="37"/>
    <x v="1"/>
    <x v="1"/>
    <x v="1"/>
    <x v="0"/>
    <x v="1"/>
    <n v="1"/>
    <x v="6"/>
    <x v="1"/>
  </r>
  <r>
    <x v="986"/>
    <x v="8"/>
    <x v="0"/>
    <n v="37.9"/>
    <n v="37.9"/>
    <x v="39"/>
    <x v="40"/>
    <x v="0"/>
    <x v="1"/>
    <x v="2"/>
    <x v="0"/>
    <x v="2"/>
    <n v="2"/>
    <x v="6"/>
    <x v="0"/>
  </r>
  <r>
    <x v="987"/>
    <x v="4"/>
    <x v="2"/>
    <n v="25.5"/>
    <n v="76.5"/>
    <x v="39"/>
    <x v="44"/>
    <x v="1"/>
    <x v="3"/>
    <x v="0"/>
    <x v="0"/>
    <x v="2"/>
    <n v="3"/>
    <x v="6"/>
    <x v="1"/>
  </r>
  <r>
    <x v="988"/>
    <x v="0"/>
    <x v="2"/>
    <n v="32"/>
    <n v="96"/>
    <x v="39"/>
    <x v="45"/>
    <x v="2"/>
    <x v="1"/>
    <x v="0"/>
    <x v="0"/>
    <x v="22"/>
    <n v="4"/>
    <x v="6"/>
    <x v="2"/>
  </r>
  <r>
    <x v="989"/>
    <x v="1"/>
    <x v="0"/>
    <n v="47.1"/>
    <n v="47.1"/>
    <x v="39"/>
    <x v="37"/>
    <x v="2"/>
    <x v="0"/>
    <x v="0"/>
    <x v="0"/>
    <x v="34"/>
    <n v="1"/>
    <x v="6"/>
    <x v="2"/>
  </r>
  <r>
    <x v="990"/>
    <x v="6"/>
    <x v="1"/>
    <n v="50.6"/>
    <n v="101.2"/>
    <x v="39"/>
    <x v="48"/>
    <x v="0"/>
    <x v="0"/>
    <x v="0"/>
    <x v="0"/>
    <x v="3"/>
    <n v="6"/>
    <x v="6"/>
    <x v="0"/>
  </r>
  <r>
    <x v="991"/>
    <x v="6"/>
    <x v="9"/>
    <n v="81.7"/>
    <n v="408.5"/>
    <x v="39"/>
    <x v="37"/>
    <x v="2"/>
    <x v="1"/>
    <x v="2"/>
    <x v="0"/>
    <x v="3"/>
    <n v="1"/>
    <x v="6"/>
    <x v="2"/>
  </r>
  <r>
    <x v="992"/>
    <x v="5"/>
    <x v="1"/>
    <n v="50.7"/>
    <n v="101.4"/>
    <x v="39"/>
    <x v="37"/>
    <x v="3"/>
    <x v="2"/>
    <x v="2"/>
    <x v="0"/>
    <x v="3"/>
    <n v="1"/>
    <x v="6"/>
    <x v="3"/>
  </r>
  <r>
    <x v="993"/>
    <x v="2"/>
    <x v="10"/>
    <n v="67.3"/>
    <n v="1278.7"/>
    <x v="39"/>
    <x v="45"/>
    <x v="2"/>
    <x v="2"/>
    <x v="0"/>
    <x v="0"/>
    <x v="3"/>
    <n v="4"/>
    <x v="6"/>
    <x v="2"/>
  </r>
  <r>
    <x v="994"/>
    <x v="2"/>
    <x v="12"/>
    <n v="64.8"/>
    <n v="259.2"/>
    <x v="39"/>
    <x v="44"/>
    <x v="2"/>
    <x v="3"/>
    <x v="0"/>
    <x v="0"/>
    <x v="3"/>
    <n v="3"/>
    <x v="6"/>
    <x v="2"/>
  </r>
  <r>
    <x v="995"/>
    <x v="5"/>
    <x v="32"/>
    <n v="61.3"/>
    <n v="1348.6"/>
    <x v="39"/>
    <x v="37"/>
    <x v="2"/>
    <x v="0"/>
    <x v="2"/>
    <x v="0"/>
    <x v="3"/>
    <n v="1"/>
    <x v="6"/>
    <x v="2"/>
  </r>
  <r>
    <x v="996"/>
    <x v="14"/>
    <x v="0"/>
    <n v="32.9"/>
    <n v="32.9"/>
    <x v="39"/>
    <x v="44"/>
    <x v="2"/>
    <x v="4"/>
    <x v="0"/>
    <x v="0"/>
    <x v="3"/>
    <n v="3"/>
    <x v="6"/>
    <x v="2"/>
  </r>
  <r>
    <x v="997"/>
    <x v="6"/>
    <x v="1"/>
    <n v="100.8"/>
    <n v="201.6"/>
    <x v="39"/>
    <x v="44"/>
    <x v="2"/>
    <x v="0"/>
    <x v="0"/>
    <x v="0"/>
    <x v="3"/>
    <n v="3"/>
    <x v="6"/>
    <x v="2"/>
  </r>
  <r>
    <x v="998"/>
    <x v="8"/>
    <x v="12"/>
    <n v="25.1"/>
    <n v="100.4"/>
    <x v="39"/>
    <x v="40"/>
    <x v="2"/>
    <x v="1"/>
    <x v="0"/>
    <x v="0"/>
    <x v="3"/>
    <n v="2"/>
    <x v="6"/>
    <x v="2"/>
  </r>
  <r>
    <x v="999"/>
    <x v="17"/>
    <x v="0"/>
    <n v="48.5"/>
    <n v="48.5"/>
    <x v="39"/>
    <x v="37"/>
    <x v="2"/>
    <x v="0"/>
    <x v="1"/>
    <x v="0"/>
    <x v="3"/>
    <n v="1"/>
    <x v="6"/>
    <x v="2"/>
  </r>
  <r>
    <x v="1000"/>
    <x v="7"/>
    <x v="1"/>
    <n v="33.6"/>
    <n v="67.2"/>
    <x v="39"/>
    <x v="45"/>
    <x v="2"/>
    <x v="2"/>
    <x v="2"/>
    <x v="0"/>
    <x v="3"/>
    <n v="4"/>
    <x v="6"/>
    <x v="2"/>
  </r>
  <r>
    <x v="1001"/>
    <x v="8"/>
    <x v="0"/>
    <n v="39.299999999999997"/>
    <n v="39.299999999999997"/>
    <x v="39"/>
    <x v="49"/>
    <x v="2"/>
    <x v="1"/>
    <x v="1"/>
    <x v="0"/>
    <x v="49"/>
    <n v="11"/>
    <x v="6"/>
    <x v="2"/>
  </r>
  <r>
    <x v="1002"/>
    <x v="4"/>
    <x v="7"/>
    <n v="48.8"/>
    <n v="488"/>
    <x v="39"/>
    <x v="40"/>
    <x v="2"/>
    <x v="3"/>
    <x v="1"/>
    <x v="0"/>
    <x v="25"/>
    <n v="2"/>
    <x v="6"/>
    <x v="2"/>
  </r>
  <r>
    <x v="1003"/>
    <x v="6"/>
    <x v="8"/>
    <n v="72.8"/>
    <n v="582.4"/>
    <x v="39"/>
    <x v="40"/>
    <x v="1"/>
    <x v="1"/>
    <x v="2"/>
    <x v="0"/>
    <x v="5"/>
    <n v="2"/>
    <x v="6"/>
    <x v="1"/>
  </r>
  <r>
    <x v="1004"/>
    <x v="10"/>
    <x v="8"/>
    <n v="46.2"/>
    <n v="369.6"/>
    <x v="39"/>
    <x v="37"/>
    <x v="1"/>
    <x v="3"/>
    <x v="4"/>
    <x v="0"/>
    <x v="5"/>
    <n v="1"/>
    <x v="6"/>
    <x v="1"/>
  </r>
  <r>
    <x v="1005"/>
    <x v="4"/>
    <x v="1"/>
    <n v="20.7"/>
    <n v="41.4"/>
    <x v="39"/>
    <x v="37"/>
    <x v="2"/>
    <x v="2"/>
    <x v="3"/>
    <x v="0"/>
    <x v="6"/>
    <n v="1"/>
    <x v="6"/>
    <x v="2"/>
  </r>
  <r>
    <x v="1006"/>
    <x v="0"/>
    <x v="0"/>
    <n v="35.700000000000003"/>
    <n v="35.700000000000003"/>
    <x v="39"/>
    <x v="40"/>
    <x v="2"/>
    <x v="3"/>
    <x v="0"/>
    <x v="0"/>
    <x v="6"/>
    <n v="2"/>
    <x v="6"/>
    <x v="2"/>
  </r>
  <r>
    <x v="1007"/>
    <x v="2"/>
    <x v="27"/>
    <n v="166.2"/>
    <n v="2659.2"/>
    <x v="39"/>
    <x v="40"/>
    <x v="0"/>
    <x v="2"/>
    <x v="0"/>
    <x v="0"/>
    <x v="7"/>
    <n v="2"/>
    <x v="6"/>
    <x v="0"/>
  </r>
  <r>
    <x v="1008"/>
    <x v="6"/>
    <x v="12"/>
    <n v="85.8"/>
    <n v="343.2"/>
    <x v="39"/>
    <x v="37"/>
    <x v="2"/>
    <x v="1"/>
    <x v="1"/>
    <x v="0"/>
    <x v="7"/>
    <n v="1"/>
    <x v="6"/>
    <x v="2"/>
  </r>
  <r>
    <x v="1009"/>
    <x v="8"/>
    <x v="2"/>
    <n v="26"/>
    <n v="78"/>
    <x v="39"/>
    <x v="40"/>
    <x v="3"/>
    <x v="1"/>
    <x v="0"/>
    <x v="0"/>
    <x v="7"/>
    <n v="2"/>
    <x v="6"/>
    <x v="3"/>
  </r>
  <r>
    <x v="1010"/>
    <x v="2"/>
    <x v="15"/>
    <n v="116.6"/>
    <n v="1515.8"/>
    <x v="39"/>
    <x v="44"/>
    <x v="2"/>
    <x v="0"/>
    <x v="0"/>
    <x v="0"/>
    <x v="8"/>
    <n v="3"/>
    <x v="6"/>
    <x v="2"/>
  </r>
  <r>
    <x v="1011"/>
    <x v="9"/>
    <x v="3"/>
    <n v="53.9"/>
    <n v="377.3"/>
    <x v="39"/>
    <x v="44"/>
    <x v="3"/>
    <x v="0"/>
    <x v="2"/>
    <x v="0"/>
    <x v="8"/>
    <n v="3"/>
    <x v="6"/>
    <x v="3"/>
  </r>
  <r>
    <x v="1012"/>
    <x v="12"/>
    <x v="9"/>
    <n v="72.3"/>
    <n v="361.5"/>
    <x v="39"/>
    <x v="40"/>
    <x v="0"/>
    <x v="2"/>
    <x v="2"/>
    <x v="0"/>
    <x v="8"/>
    <n v="2"/>
    <x v="6"/>
    <x v="0"/>
  </r>
  <r>
    <x v="1013"/>
    <x v="5"/>
    <x v="1"/>
    <n v="31.4"/>
    <n v="62.8"/>
    <x v="39"/>
    <x v="40"/>
    <x v="2"/>
    <x v="0"/>
    <x v="0"/>
    <x v="0"/>
    <x v="8"/>
    <n v="2"/>
    <x v="6"/>
    <x v="2"/>
  </r>
  <r>
    <x v="1014"/>
    <x v="13"/>
    <x v="1"/>
    <n v="53.1"/>
    <n v="106.2"/>
    <x v="39"/>
    <x v="44"/>
    <x v="1"/>
    <x v="1"/>
    <x v="0"/>
    <x v="0"/>
    <x v="8"/>
    <n v="3"/>
    <x v="6"/>
    <x v="1"/>
  </r>
  <r>
    <x v="1015"/>
    <x v="2"/>
    <x v="12"/>
    <n v="56.2"/>
    <n v="224.8"/>
    <x v="39"/>
    <x v="37"/>
    <x v="2"/>
    <x v="0"/>
    <x v="0"/>
    <x v="0"/>
    <x v="8"/>
    <n v="1"/>
    <x v="6"/>
    <x v="2"/>
  </r>
  <r>
    <x v="1016"/>
    <x v="1"/>
    <x v="7"/>
    <n v="77.3"/>
    <n v="773"/>
    <x v="39"/>
    <x v="37"/>
    <x v="2"/>
    <x v="2"/>
    <x v="0"/>
    <x v="0"/>
    <x v="11"/>
    <n v="1"/>
    <x v="6"/>
    <x v="2"/>
  </r>
  <r>
    <x v="1017"/>
    <x v="6"/>
    <x v="15"/>
    <n v="57.8"/>
    <n v="751.4"/>
    <x v="39"/>
    <x v="37"/>
    <x v="0"/>
    <x v="0"/>
    <x v="0"/>
    <x v="0"/>
    <x v="53"/>
    <n v="1"/>
    <x v="6"/>
    <x v="0"/>
  </r>
  <r>
    <x v="1018"/>
    <x v="12"/>
    <x v="20"/>
    <n v="42.1"/>
    <n v="631.5"/>
    <x v="39"/>
    <x v="40"/>
    <x v="2"/>
    <x v="1"/>
    <x v="1"/>
    <x v="0"/>
    <x v="53"/>
    <n v="2"/>
    <x v="6"/>
    <x v="2"/>
  </r>
  <r>
    <x v="1019"/>
    <x v="8"/>
    <x v="11"/>
    <n v="22.8"/>
    <n v="205.20000000000002"/>
    <x v="39"/>
    <x v="45"/>
    <x v="1"/>
    <x v="2"/>
    <x v="2"/>
    <x v="0"/>
    <x v="19"/>
    <n v="4"/>
    <x v="6"/>
    <x v="1"/>
  </r>
  <r>
    <x v="1020"/>
    <x v="2"/>
    <x v="2"/>
    <n v="171.1"/>
    <n v="513.29999999999995"/>
    <x v="40"/>
    <x v="43"/>
    <x v="2"/>
    <x v="2"/>
    <x v="1"/>
    <x v="0"/>
    <x v="19"/>
    <n v="7"/>
    <x v="6"/>
    <x v="2"/>
  </r>
  <r>
    <x v="1021"/>
    <x v="8"/>
    <x v="0"/>
    <n v="28"/>
    <n v="28"/>
    <x v="40"/>
    <x v="44"/>
    <x v="1"/>
    <x v="2"/>
    <x v="2"/>
    <x v="0"/>
    <x v="21"/>
    <n v="2"/>
    <x v="6"/>
    <x v="1"/>
  </r>
  <r>
    <x v="1022"/>
    <x v="6"/>
    <x v="3"/>
    <n v="50.2"/>
    <n v="351.40000000000003"/>
    <x v="40"/>
    <x v="44"/>
    <x v="1"/>
    <x v="2"/>
    <x v="0"/>
    <x v="0"/>
    <x v="21"/>
    <n v="2"/>
    <x v="6"/>
    <x v="1"/>
  </r>
  <r>
    <x v="1023"/>
    <x v="6"/>
    <x v="1"/>
    <n v="56"/>
    <n v="112"/>
    <x v="40"/>
    <x v="37"/>
    <x v="1"/>
    <x v="0"/>
    <x v="2"/>
    <x v="0"/>
    <x v="22"/>
    <n v="0"/>
    <x v="6"/>
    <x v="1"/>
  </r>
  <r>
    <x v="1024"/>
    <x v="1"/>
    <x v="1"/>
    <n v="38.299999999999997"/>
    <n v="76.599999999999994"/>
    <x v="40"/>
    <x v="40"/>
    <x v="2"/>
    <x v="1"/>
    <x v="0"/>
    <x v="0"/>
    <x v="3"/>
    <n v="1"/>
    <x v="6"/>
    <x v="2"/>
  </r>
  <r>
    <x v="1025"/>
    <x v="0"/>
    <x v="9"/>
    <n v="22.3"/>
    <n v="111.5"/>
    <x v="40"/>
    <x v="42"/>
    <x v="2"/>
    <x v="2"/>
    <x v="1"/>
    <x v="0"/>
    <x v="3"/>
    <n v="4"/>
    <x v="6"/>
    <x v="2"/>
  </r>
  <r>
    <x v="1026"/>
    <x v="0"/>
    <x v="2"/>
    <n v="22.3"/>
    <n v="66.900000000000006"/>
    <x v="40"/>
    <x v="45"/>
    <x v="2"/>
    <x v="2"/>
    <x v="0"/>
    <x v="0"/>
    <x v="3"/>
    <n v="3"/>
    <x v="6"/>
    <x v="2"/>
  </r>
  <r>
    <x v="1027"/>
    <x v="1"/>
    <x v="0"/>
    <n v="32.9"/>
    <n v="32.9"/>
    <x v="40"/>
    <x v="48"/>
    <x v="2"/>
    <x v="0"/>
    <x v="0"/>
    <x v="0"/>
    <x v="3"/>
    <n v="5"/>
    <x v="6"/>
    <x v="2"/>
  </r>
  <r>
    <x v="1028"/>
    <x v="10"/>
    <x v="2"/>
    <n v="31.9"/>
    <n v="95.699999999999989"/>
    <x v="40"/>
    <x v="48"/>
    <x v="2"/>
    <x v="0"/>
    <x v="0"/>
    <x v="0"/>
    <x v="3"/>
    <n v="5"/>
    <x v="6"/>
    <x v="2"/>
  </r>
  <r>
    <x v="1029"/>
    <x v="6"/>
    <x v="1"/>
    <n v="94"/>
    <n v="188"/>
    <x v="40"/>
    <x v="40"/>
    <x v="1"/>
    <x v="2"/>
    <x v="2"/>
    <x v="0"/>
    <x v="3"/>
    <n v="1"/>
    <x v="6"/>
    <x v="1"/>
  </r>
  <r>
    <x v="1030"/>
    <x v="10"/>
    <x v="1"/>
    <n v="30.7"/>
    <n v="61.4"/>
    <x v="40"/>
    <x v="40"/>
    <x v="2"/>
    <x v="0"/>
    <x v="1"/>
    <x v="0"/>
    <x v="3"/>
    <n v="1"/>
    <x v="6"/>
    <x v="2"/>
  </r>
  <r>
    <x v="1031"/>
    <x v="5"/>
    <x v="9"/>
    <n v="90.5"/>
    <n v="452.5"/>
    <x v="40"/>
    <x v="43"/>
    <x v="1"/>
    <x v="0"/>
    <x v="2"/>
    <x v="0"/>
    <x v="3"/>
    <n v="7"/>
    <x v="6"/>
    <x v="1"/>
  </r>
  <r>
    <x v="1032"/>
    <x v="8"/>
    <x v="9"/>
    <n v="25.3"/>
    <n v="126.5"/>
    <x v="40"/>
    <x v="42"/>
    <x v="2"/>
    <x v="0"/>
    <x v="2"/>
    <x v="0"/>
    <x v="3"/>
    <n v="4"/>
    <x v="6"/>
    <x v="2"/>
  </r>
  <r>
    <x v="1033"/>
    <x v="6"/>
    <x v="2"/>
    <n v="58.1"/>
    <n v="174.3"/>
    <x v="40"/>
    <x v="42"/>
    <x v="0"/>
    <x v="0"/>
    <x v="2"/>
    <x v="0"/>
    <x v="3"/>
    <n v="4"/>
    <x v="6"/>
    <x v="0"/>
  </r>
  <r>
    <x v="1034"/>
    <x v="2"/>
    <x v="2"/>
    <n v="74.900000000000006"/>
    <n v="224.70000000000002"/>
    <x v="40"/>
    <x v="40"/>
    <x v="2"/>
    <x v="4"/>
    <x v="0"/>
    <x v="0"/>
    <x v="3"/>
    <n v="1"/>
    <x v="6"/>
    <x v="2"/>
  </r>
  <r>
    <x v="1035"/>
    <x v="4"/>
    <x v="1"/>
    <n v="32.5"/>
    <n v="65"/>
    <x v="40"/>
    <x v="40"/>
    <x v="1"/>
    <x v="2"/>
    <x v="2"/>
    <x v="0"/>
    <x v="43"/>
    <n v="1"/>
    <x v="6"/>
    <x v="1"/>
  </r>
  <r>
    <x v="1036"/>
    <x v="4"/>
    <x v="9"/>
    <n v="62"/>
    <n v="310"/>
    <x v="40"/>
    <x v="40"/>
    <x v="1"/>
    <x v="4"/>
    <x v="2"/>
    <x v="0"/>
    <x v="25"/>
    <n v="1"/>
    <x v="6"/>
    <x v="1"/>
  </r>
  <r>
    <x v="1037"/>
    <x v="13"/>
    <x v="13"/>
    <n v="28.9"/>
    <n v="173.39999999999998"/>
    <x v="40"/>
    <x v="45"/>
    <x v="2"/>
    <x v="0"/>
    <x v="1"/>
    <x v="0"/>
    <x v="6"/>
    <n v="3"/>
    <x v="6"/>
    <x v="2"/>
  </r>
  <r>
    <x v="1038"/>
    <x v="6"/>
    <x v="8"/>
    <n v="42.8"/>
    <n v="342.4"/>
    <x v="40"/>
    <x v="44"/>
    <x v="2"/>
    <x v="0"/>
    <x v="2"/>
    <x v="0"/>
    <x v="6"/>
    <n v="2"/>
    <x v="6"/>
    <x v="2"/>
  </r>
  <r>
    <x v="1039"/>
    <x v="8"/>
    <x v="8"/>
    <n v="39.4"/>
    <n v="315.2"/>
    <x v="40"/>
    <x v="44"/>
    <x v="1"/>
    <x v="0"/>
    <x v="0"/>
    <x v="0"/>
    <x v="36"/>
    <n v="2"/>
    <x v="6"/>
    <x v="1"/>
  </r>
  <r>
    <x v="1040"/>
    <x v="18"/>
    <x v="2"/>
    <n v="66.400000000000006"/>
    <n v="199.20000000000002"/>
    <x v="40"/>
    <x v="40"/>
    <x v="0"/>
    <x v="2"/>
    <x v="1"/>
    <x v="0"/>
    <x v="7"/>
    <n v="1"/>
    <x v="6"/>
    <x v="0"/>
  </r>
  <r>
    <x v="1041"/>
    <x v="17"/>
    <x v="12"/>
    <n v="35.9"/>
    <n v="143.6"/>
    <x v="40"/>
    <x v="43"/>
    <x v="2"/>
    <x v="1"/>
    <x v="0"/>
    <x v="0"/>
    <x v="7"/>
    <n v="7"/>
    <x v="6"/>
    <x v="2"/>
  </r>
  <r>
    <x v="1042"/>
    <x v="0"/>
    <x v="12"/>
    <n v="26.9"/>
    <n v="107.6"/>
    <x v="40"/>
    <x v="40"/>
    <x v="1"/>
    <x v="1"/>
    <x v="0"/>
    <x v="0"/>
    <x v="7"/>
    <n v="1"/>
    <x v="6"/>
    <x v="1"/>
  </r>
  <r>
    <x v="1043"/>
    <x v="2"/>
    <x v="0"/>
    <n v="55.1"/>
    <n v="55.1"/>
    <x v="40"/>
    <x v="40"/>
    <x v="2"/>
    <x v="0"/>
    <x v="0"/>
    <x v="0"/>
    <x v="7"/>
    <n v="1"/>
    <x v="6"/>
    <x v="2"/>
  </r>
  <r>
    <x v="1044"/>
    <x v="4"/>
    <x v="1"/>
    <n v="23.9"/>
    <n v="47.8"/>
    <x v="40"/>
    <x v="40"/>
    <x v="1"/>
    <x v="0"/>
    <x v="2"/>
    <x v="0"/>
    <x v="8"/>
    <n v="1"/>
    <x v="6"/>
    <x v="1"/>
  </r>
  <r>
    <x v="1045"/>
    <x v="9"/>
    <x v="15"/>
    <n v="21.1"/>
    <n v="274.3"/>
    <x v="40"/>
    <x v="50"/>
    <x v="2"/>
    <x v="0"/>
    <x v="1"/>
    <x v="0"/>
    <x v="8"/>
    <n v="8"/>
    <x v="6"/>
    <x v="2"/>
  </r>
  <r>
    <x v="1046"/>
    <x v="8"/>
    <x v="9"/>
    <n v="33.799999999999997"/>
    <n v="169"/>
    <x v="40"/>
    <x v="44"/>
    <x v="2"/>
    <x v="0"/>
    <x v="0"/>
    <x v="0"/>
    <x v="8"/>
    <n v="2"/>
    <x v="6"/>
    <x v="2"/>
  </r>
  <r>
    <x v="1047"/>
    <x v="2"/>
    <x v="12"/>
    <n v="56.1"/>
    <n v="224.4"/>
    <x v="40"/>
    <x v="37"/>
    <x v="2"/>
    <x v="3"/>
    <x v="2"/>
    <x v="0"/>
    <x v="9"/>
    <n v="0"/>
    <x v="6"/>
    <x v="2"/>
  </r>
  <r>
    <x v="1048"/>
    <x v="3"/>
    <x v="0"/>
    <n v="58.5"/>
    <n v="58.5"/>
    <x v="41"/>
    <x v="48"/>
    <x v="2"/>
    <x v="1"/>
    <x v="2"/>
    <x v="0"/>
    <x v="9"/>
    <n v="4"/>
    <x v="6"/>
    <x v="2"/>
  </r>
  <r>
    <x v="1049"/>
    <x v="6"/>
    <x v="0"/>
    <n v="84.2"/>
    <n v="84.2"/>
    <x v="41"/>
    <x v="45"/>
    <x v="1"/>
    <x v="3"/>
    <x v="0"/>
    <x v="0"/>
    <x v="11"/>
    <n v="2"/>
    <x v="6"/>
    <x v="1"/>
  </r>
  <r>
    <x v="1050"/>
    <x v="11"/>
    <x v="12"/>
    <n v="52"/>
    <n v="208"/>
    <x v="41"/>
    <x v="42"/>
    <x v="1"/>
    <x v="0"/>
    <x v="0"/>
    <x v="0"/>
    <x v="11"/>
    <n v="3"/>
    <x v="6"/>
    <x v="1"/>
  </r>
  <r>
    <x v="1051"/>
    <x v="4"/>
    <x v="9"/>
    <n v="31.5"/>
    <n v="157.5"/>
    <x v="41"/>
    <x v="44"/>
    <x v="2"/>
    <x v="0"/>
    <x v="2"/>
    <x v="0"/>
    <x v="11"/>
    <n v="1"/>
    <x v="6"/>
    <x v="2"/>
  </r>
  <r>
    <x v="1052"/>
    <x v="16"/>
    <x v="2"/>
    <n v="46.2"/>
    <n v="138.60000000000002"/>
    <x v="41"/>
    <x v="44"/>
    <x v="1"/>
    <x v="0"/>
    <x v="0"/>
    <x v="0"/>
    <x v="53"/>
    <n v="1"/>
    <x v="6"/>
    <x v="1"/>
  </r>
  <r>
    <x v="1053"/>
    <x v="2"/>
    <x v="13"/>
    <n v="135"/>
    <n v="810"/>
    <x v="41"/>
    <x v="44"/>
    <x v="2"/>
    <x v="1"/>
    <x v="2"/>
    <x v="0"/>
    <x v="18"/>
    <n v="1"/>
    <x v="6"/>
    <x v="2"/>
  </r>
  <r>
    <x v="1054"/>
    <x v="12"/>
    <x v="2"/>
    <n v="92.2"/>
    <n v="276.60000000000002"/>
    <x v="41"/>
    <x v="48"/>
    <x v="1"/>
    <x v="0"/>
    <x v="0"/>
    <x v="0"/>
    <x v="21"/>
    <n v="4"/>
    <x v="6"/>
    <x v="1"/>
  </r>
  <r>
    <x v="1055"/>
    <x v="8"/>
    <x v="0"/>
    <n v="36.6"/>
    <n v="36.6"/>
    <x v="41"/>
    <x v="45"/>
    <x v="1"/>
    <x v="2"/>
    <x v="2"/>
    <x v="0"/>
    <x v="21"/>
    <n v="2"/>
    <x v="6"/>
    <x v="1"/>
  </r>
  <r>
    <x v="1056"/>
    <x v="9"/>
    <x v="1"/>
    <n v="50.6"/>
    <n v="101.2"/>
    <x v="41"/>
    <x v="42"/>
    <x v="2"/>
    <x v="0"/>
    <x v="0"/>
    <x v="0"/>
    <x v="2"/>
    <n v="3"/>
    <x v="6"/>
    <x v="2"/>
  </r>
  <r>
    <x v="1057"/>
    <x v="18"/>
    <x v="3"/>
    <n v="56.7"/>
    <n v="396.90000000000003"/>
    <x v="41"/>
    <x v="42"/>
    <x v="2"/>
    <x v="0"/>
    <x v="0"/>
    <x v="0"/>
    <x v="2"/>
    <n v="3"/>
    <x v="6"/>
    <x v="2"/>
  </r>
  <r>
    <x v="1058"/>
    <x v="9"/>
    <x v="15"/>
    <n v="22.9"/>
    <n v="297.7"/>
    <x v="41"/>
    <x v="44"/>
    <x v="2"/>
    <x v="0"/>
    <x v="1"/>
    <x v="0"/>
    <x v="44"/>
    <n v="1"/>
    <x v="6"/>
    <x v="2"/>
  </r>
  <r>
    <x v="1059"/>
    <x v="15"/>
    <x v="10"/>
    <n v="53.6"/>
    <n v="1018.4"/>
    <x v="41"/>
    <x v="44"/>
    <x v="1"/>
    <x v="0"/>
    <x v="0"/>
    <x v="0"/>
    <x v="22"/>
    <n v="1"/>
    <x v="6"/>
    <x v="1"/>
  </r>
  <r>
    <x v="1060"/>
    <x v="18"/>
    <x v="1"/>
    <n v="30.2"/>
    <n v="60.4"/>
    <x v="41"/>
    <x v="45"/>
    <x v="0"/>
    <x v="2"/>
    <x v="2"/>
    <x v="0"/>
    <x v="3"/>
    <n v="2"/>
    <x v="6"/>
    <x v="0"/>
  </r>
  <r>
    <x v="1061"/>
    <x v="15"/>
    <x v="13"/>
    <n v="83.4"/>
    <n v="500.40000000000003"/>
    <x v="41"/>
    <x v="44"/>
    <x v="1"/>
    <x v="1"/>
    <x v="2"/>
    <x v="0"/>
    <x v="3"/>
    <n v="1"/>
    <x v="6"/>
    <x v="1"/>
  </r>
  <r>
    <x v="1062"/>
    <x v="13"/>
    <x v="4"/>
    <n v="16.600000000000001"/>
    <n v="199.20000000000002"/>
    <x v="41"/>
    <x v="45"/>
    <x v="1"/>
    <x v="1"/>
    <x v="0"/>
    <x v="0"/>
    <x v="3"/>
    <n v="2"/>
    <x v="6"/>
    <x v="1"/>
  </r>
  <r>
    <x v="1063"/>
    <x v="8"/>
    <x v="14"/>
    <n v="21.9"/>
    <n v="372.29999999999995"/>
    <x v="41"/>
    <x v="45"/>
    <x v="2"/>
    <x v="4"/>
    <x v="1"/>
    <x v="0"/>
    <x v="3"/>
    <n v="2"/>
    <x v="6"/>
    <x v="2"/>
  </r>
  <r>
    <x v="1064"/>
    <x v="8"/>
    <x v="31"/>
    <n v="33.799999999999997"/>
    <n v="946.39999999999986"/>
    <x v="41"/>
    <x v="45"/>
    <x v="1"/>
    <x v="2"/>
    <x v="4"/>
    <x v="0"/>
    <x v="3"/>
    <n v="2"/>
    <x v="6"/>
    <x v="1"/>
  </r>
  <r>
    <x v="1065"/>
    <x v="18"/>
    <x v="1"/>
    <n v="53.2"/>
    <n v="106.4"/>
    <x v="41"/>
    <x v="40"/>
    <x v="1"/>
    <x v="1"/>
    <x v="0"/>
    <x v="0"/>
    <x v="3"/>
    <n v="0"/>
    <x v="6"/>
    <x v="1"/>
  </r>
  <r>
    <x v="1066"/>
    <x v="2"/>
    <x v="1"/>
    <n v="176.7"/>
    <n v="353.4"/>
    <x v="41"/>
    <x v="42"/>
    <x v="2"/>
    <x v="2"/>
    <x v="0"/>
    <x v="0"/>
    <x v="3"/>
    <n v="3"/>
    <x v="6"/>
    <x v="2"/>
  </r>
  <r>
    <x v="1067"/>
    <x v="12"/>
    <x v="2"/>
    <n v="54"/>
    <n v="162"/>
    <x v="41"/>
    <x v="42"/>
    <x v="1"/>
    <x v="0"/>
    <x v="1"/>
    <x v="0"/>
    <x v="3"/>
    <n v="3"/>
    <x v="6"/>
    <x v="1"/>
  </r>
  <r>
    <x v="1068"/>
    <x v="9"/>
    <x v="1"/>
    <n v="70.099999999999994"/>
    <n v="140.19999999999999"/>
    <x v="41"/>
    <x v="46"/>
    <x v="2"/>
    <x v="3"/>
    <x v="2"/>
    <x v="0"/>
    <x v="3"/>
    <n v="8"/>
    <x v="6"/>
    <x v="2"/>
  </r>
  <r>
    <x v="1069"/>
    <x v="8"/>
    <x v="0"/>
    <n v="26.5"/>
    <n v="26.5"/>
    <x v="41"/>
    <x v="45"/>
    <x v="2"/>
    <x v="1"/>
    <x v="0"/>
    <x v="0"/>
    <x v="3"/>
    <n v="2"/>
    <x v="6"/>
    <x v="2"/>
  </r>
  <r>
    <x v="1070"/>
    <x v="7"/>
    <x v="9"/>
    <n v="89"/>
    <n v="445"/>
    <x v="41"/>
    <x v="45"/>
    <x v="1"/>
    <x v="2"/>
    <x v="4"/>
    <x v="0"/>
    <x v="3"/>
    <n v="2"/>
    <x v="6"/>
    <x v="1"/>
  </r>
  <r>
    <x v="1071"/>
    <x v="1"/>
    <x v="13"/>
    <n v="47"/>
    <n v="282"/>
    <x v="41"/>
    <x v="42"/>
    <x v="2"/>
    <x v="3"/>
    <x v="0"/>
    <x v="0"/>
    <x v="24"/>
    <n v="3"/>
    <x v="6"/>
    <x v="2"/>
  </r>
  <r>
    <x v="1072"/>
    <x v="3"/>
    <x v="1"/>
    <n v="55.2"/>
    <n v="110.4"/>
    <x v="41"/>
    <x v="42"/>
    <x v="1"/>
    <x v="1"/>
    <x v="1"/>
    <x v="0"/>
    <x v="6"/>
    <n v="3"/>
    <x v="6"/>
    <x v="1"/>
  </r>
  <r>
    <x v="1073"/>
    <x v="8"/>
    <x v="39"/>
    <n v="33.299999999999997"/>
    <n v="1398.6"/>
    <x v="41"/>
    <x v="51"/>
    <x v="1"/>
    <x v="1"/>
    <x v="2"/>
    <x v="0"/>
    <x v="6"/>
    <n v="14"/>
    <x v="6"/>
    <x v="1"/>
  </r>
  <r>
    <x v="1074"/>
    <x v="2"/>
    <x v="12"/>
    <n v="110.9"/>
    <n v="443.6"/>
    <x v="42"/>
    <x v="44"/>
    <x v="1"/>
    <x v="2"/>
    <x v="4"/>
    <x v="0"/>
    <x v="6"/>
    <n v="0"/>
    <x v="6"/>
    <x v="1"/>
  </r>
  <r>
    <x v="1075"/>
    <x v="2"/>
    <x v="13"/>
    <n v="67.3"/>
    <n v="403.79999999999995"/>
    <x v="42"/>
    <x v="45"/>
    <x v="1"/>
    <x v="0"/>
    <x v="0"/>
    <x v="0"/>
    <x v="8"/>
    <n v="1"/>
    <x v="6"/>
    <x v="1"/>
  </r>
  <r>
    <x v="1076"/>
    <x v="6"/>
    <x v="2"/>
    <n v="69.7"/>
    <n v="209.10000000000002"/>
    <x v="42"/>
    <x v="45"/>
    <x v="1"/>
    <x v="2"/>
    <x v="1"/>
    <x v="0"/>
    <x v="8"/>
    <n v="1"/>
    <x v="6"/>
    <x v="1"/>
  </r>
  <r>
    <x v="1077"/>
    <x v="5"/>
    <x v="0"/>
    <n v="39.1"/>
    <n v="39.1"/>
    <x v="42"/>
    <x v="43"/>
    <x v="1"/>
    <x v="0"/>
    <x v="1"/>
    <x v="0"/>
    <x v="17"/>
    <n v="5"/>
    <x v="6"/>
    <x v="1"/>
  </r>
  <r>
    <x v="1078"/>
    <x v="2"/>
    <x v="2"/>
    <n v="208.6"/>
    <n v="625.79999999999995"/>
    <x v="42"/>
    <x v="44"/>
    <x v="1"/>
    <x v="4"/>
    <x v="2"/>
    <x v="0"/>
    <x v="17"/>
    <n v="0"/>
    <x v="6"/>
    <x v="1"/>
  </r>
  <r>
    <x v="1079"/>
    <x v="15"/>
    <x v="2"/>
    <n v="27.8"/>
    <n v="83.4"/>
    <x v="42"/>
    <x v="45"/>
    <x v="1"/>
    <x v="3"/>
    <x v="1"/>
    <x v="0"/>
    <x v="11"/>
    <n v="1"/>
    <x v="6"/>
    <x v="1"/>
  </r>
  <r>
    <x v="1080"/>
    <x v="10"/>
    <x v="9"/>
    <n v="29.4"/>
    <n v="147"/>
    <x v="42"/>
    <x v="42"/>
    <x v="2"/>
    <x v="0"/>
    <x v="0"/>
    <x v="0"/>
    <x v="11"/>
    <n v="2"/>
    <x v="6"/>
    <x v="2"/>
  </r>
  <r>
    <x v="1081"/>
    <x v="9"/>
    <x v="1"/>
    <n v="29.2"/>
    <n v="58.4"/>
    <x v="42"/>
    <x v="42"/>
    <x v="2"/>
    <x v="1"/>
    <x v="2"/>
    <x v="0"/>
    <x v="20"/>
    <n v="2"/>
    <x v="6"/>
    <x v="2"/>
  </r>
  <r>
    <x v="1082"/>
    <x v="10"/>
    <x v="9"/>
    <n v="26.5"/>
    <n v="132.5"/>
    <x v="42"/>
    <x v="42"/>
    <x v="2"/>
    <x v="0"/>
    <x v="0"/>
    <x v="0"/>
    <x v="52"/>
    <n v="2"/>
    <x v="6"/>
    <x v="2"/>
  </r>
  <r>
    <x v="1083"/>
    <x v="5"/>
    <x v="0"/>
    <n v="30.3"/>
    <n v="30.3"/>
    <x v="42"/>
    <x v="45"/>
    <x v="2"/>
    <x v="4"/>
    <x v="1"/>
    <x v="0"/>
    <x v="13"/>
    <n v="1"/>
    <x v="6"/>
    <x v="2"/>
  </r>
  <r>
    <x v="1084"/>
    <x v="16"/>
    <x v="4"/>
    <n v="39.700000000000003"/>
    <n v="476.40000000000003"/>
    <x v="42"/>
    <x v="45"/>
    <x v="2"/>
    <x v="0"/>
    <x v="0"/>
    <x v="0"/>
    <x v="21"/>
    <n v="1"/>
    <x v="6"/>
    <x v="2"/>
  </r>
  <r>
    <x v="1085"/>
    <x v="7"/>
    <x v="7"/>
    <n v="58.9"/>
    <n v="589"/>
    <x v="42"/>
    <x v="42"/>
    <x v="2"/>
    <x v="1"/>
    <x v="4"/>
    <x v="0"/>
    <x v="21"/>
    <n v="2"/>
    <x v="6"/>
    <x v="2"/>
  </r>
  <r>
    <x v="1086"/>
    <x v="2"/>
    <x v="1"/>
    <n v="174.1"/>
    <n v="348.2"/>
    <x v="42"/>
    <x v="42"/>
    <x v="2"/>
    <x v="0"/>
    <x v="1"/>
    <x v="0"/>
    <x v="46"/>
    <n v="2"/>
    <x v="6"/>
    <x v="2"/>
  </r>
  <r>
    <x v="1087"/>
    <x v="6"/>
    <x v="1"/>
    <n v="70.8"/>
    <n v="141.6"/>
    <x v="42"/>
    <x v="48"/>
    <x v="1"/>
    <x v="2"/>
    <x v="0"/>
    <x v="0"/>
    <x v="22"/>
    <n v="3"/>
    <x v="6"/>
    <x v="1"/>
  </r>
  <r>
    <x v="1088"/>
    <x v="7"/>
    <x v="1"/>
    <n v="57.4"/>
    <n v="114.8"/>
    <x v="42"/>
    <x v="42"/>
    <x v="2"/>
    <x v="1"/>
    <x v="1"/>
    <x v="0"/>
    <x v="34"/>
    <n v="2"/>
    <x v="6"/>
    <x v="2"/>
  </r>
  <r>
    <x v="1089"/>
    <x v="0"/>
    <x v="1"/>
    <n v="28.5"/>
    <n v="57"/>
    <x v="42"/>
    <x v="42"/>
    <x v="1"/>
    <x v="3"/>
    <x v="1"/>
    <x v="0"/>
    <x v="3"/>
    <n v="2"/>
    <x v="6"/>
    <x v="1"/>
  </r>
  <r>
    <x v="1090"/>
    <x v="2"/>
    <x v="28"/>
    <n v="106.6"/>
    <n v="2132"/>
    <x v="42"/>
    <x v="45"/>
    <x v="0"/>
    <x v="1"/>
    <x v="4"/>
    <x v="0"/>
    <x v="3"/>
    <n v="1"/>
    <x v="6"/>
    <x v="0"/>
  </r>
  <r>
    <x v="1091"/>
    <x v="2"/>
    <x v="2"/>
    <n v="119.7"/>
    <n v="359.1"/>
    <x v="42"/>
    <x v="45"/>
    <x v="2"/>
    <x v="1"/>
    <x v="4"/>
    <x v="0"/>
    <x v="3"/>
    <n v="1"/>
    <x v="6"/>
    <x v="2"/>
  </r>
  <r>
    <x v="1092"/>
    <x v="18"/>
    <x v="0"/>
    <n v="73.3"/>
    <n v="73.3"/>
    <x v="42"/>
    <x v="43"/>
    <x v="2"/>
    <x v="0"/>
    <x v="2"/>
    <x v="0"/>
    <x v="3"/>
    <n v="5"/>
    <x v="6"/>
    <x v="2"/>
  </r>
  <r>
    <x v="1093"/>
    <x v="0"/>
    <x v="1"/>
    <n v="25.8"/>
    <n v="51.6"/>
    <x v="42"/>
    <x v="52"/>
    <x v="1"/>
    <x v="2"/>
    <x v="0"/>
    <x v="0"/>
    <x v="3"/>
    <n v="14"/>
    <x v="6"/>
    <x v="1"/>
  </r>
  <r>
    <x v="1094"/>
    <x v="17"/>
    <x v="2"/>
    <n v="49.1"/>
    <n v="147.30000000000001"/>
    <x v="42"/>
    <x v="42"/>
    <x v="2"/>
    <x v="0"/>
    <x v="0"/>
    <x v="0"/>
    <x v="24"/>
    <n v="2"/>
    <x v="6"/>
    <x v="2"/>
  </r>
  <r>
    <x v="1095"/>
    <x v="1"/>
    <x v="0"/>
    <n v="44.9"/>
    <n v="44.9"/>
    <x v="42"/>
    <x v="48"/>
    <x v="2"/>
    <x v="3"/>
    <x v="2"/>
    <x v="0"/>
    <x v="6"/>
    <n v="3"/>
    <x v="6"/>
    <x v="2"/>
  </r>
  <r>
    <x v="1096"/>
    <x v="15"/>
    <x v="3"/>
    <n v="29.9"/>
    <n v="209.29999999999998"/>
    <x v="42"/>
    <x v="45"/>
    <x v="2"/>
    <x v="0"/>
    <x v="0"/>
    <x v="0"/>
    <x v="6"/>
    <n v="1"/>
    <x v="6"/>
    <x v="2"/>
  </r>
  <r>
    <x v="1097"/>
    <x v="7"/>
    <x v="1"/>
    <n v="54.3"/>
    <n v="108.6"/>
    <x v="43"/>
    <x v="42"/>
    <x v="1"/>
    <x v="3"/>
    <x v="0"/>
    <x v="0"/>
    <x v="36"/>
    <n v="1"/>
    <x v="6"/>
    <x v="1"/>
  </r>
  <r>
    <x v="1098"/>
    <x v="9"/>
    <x v="12"/>
    <n v="57"/>
    <n v="228"/>
    <x v="43"/>
    <x v="48"/>
    <x v="2"/>
    <x v="0"/>
    <x v="0"/>
    <x v="0"/>
    <x v="8"/>
    <n v="2"/>
    <x v="6"/>
    <x v="2"/>
  </r>
  <r>
    <x v="1099"/>
    <x v="2"/>
    <x v="0"/>
    <n v="139.19999999999999"/>
    <n v="139.19999999999999"/>
    <x v="43"/>
    <x v="42"/>
    <x v="2"/>
    <x v="3"/>
    <x v="2"/>
    <x v="0"/>
    <x v="8"/>
    <n v="1"/>
    <x v="6"/>
    <x v="2"/>
  </r>
  <r>
    <x v="1100"/>
    <x v="10"/>
    <x v="0"/>
    <n v="33"/>
    <n v="33"/>
    <x v="43"/>
    <x v="41"/>
    <x v="2"/>
    <x v="0"/>
    <x v="2"/>
    <x v="0"/>
    <x v="8"/>
    <n v="3"/>
    <x v="6"/>
    <x v="2"/>
  </r>
  <r>
    <x v="1101"/>
    <x v="11"/>
    <x v="13"/>
    <n v="80.2"/>
    <n v="481.20000000000005"/>
    <x v="43"/>
    <x v="48"/>
    <x v="1"/>
    <x v="1"/>
    <x v="4"/>
    <x v="0"/>
    <x v="8"/>
    <n v="2"/>
    <x v="6"/>
    <x v="1"/>
  </r>
  <r>
    <x v="1102"/>
    <x v="18"/>
    <x v="8"/>
    <n v="49"/>
    <n v="392"/>
    <x v="43"/>
    <x v="42"/>
    <x v="0"/>
    <x v="2"/>
    <x v="1"/>
    <x v="0"/>
    <x v="9"/>
    <n v="1"/>
    <x v="6"/>
    <x v="0"/>
  </r>
  <r>
    <x v="1103"/>
    <x v="1"/>
    <x v="12"/>
    <n v="104.4"/>
    <n v="417.6"/>
    <x v="43"/>
    <x v="45"/>
    <x v="2"/>
    <x v="0"/>
    <x v="0"/>
    <x v="0"/>
    <x v="9"/>
    <n v="0"/>
    <x v="6"/>
    <x v="2"/>
  </r>
  <r>
    <x v="1104"/>
    <x v="3"/>
    <x v="0"/>
    <n v="41.6"/>
    <n v="41.6"/>
    <x v="43"/>
    <x v="41"/>
    <x v="1"/>
    <x v="3"/>
    <x v="0"/>
    <x v="0"/>
    <x v="11"/>
    <n v="3"/>
    <x v="6"/>
    <x v="1"/>
  </r>
  <r>
    <x v="1105"/>
    <x v="19"/>
    <x v="1"/>
    <n v="16.399999999999999"/>
    <n v="32.799999999999997"/>
    <x v="43"/>
    <x v="42"/>
    <x v="3"/>
    <x v="0"/>
    <x v="2"/>
    <x v="0"/>
    <x v="11"/>
    <n v="1"/>
    <x v="6"/>
    <x v="3"/>
  </r>
  <r>
    <x v="1106"/>
    <x v="8"/>
    <x v="1"/>
    <n v="22"/>
    <n v="44"/>
    <x v="43"/>
    <x v="42"/>
    <x v="1"/>
    <x v="2"/>
    <x v="2"/>
    <x v="0"/>
    <x v="53"/>
    <n v="1"/>
    <x v="6"/>
    <x v="1"/>
  </r>
  <r>
    <x v="1107"/>
    <x v="15"/>
    <x v="1"/>
    <n v="33.6"/>
    <n v="67.2"/>
    <x v="43"/>
    <x v="50"/>
    <x v="2"/>
    <x v="0"/>
    <x v="0"/>
    <x v="0"/>
    <x v="21"/>
    <n v="5"/>
    <x v="6"/>
    <x v="2"/>
  </r>
  <r>
    <x v="1108"/>
    <x v="11"/>
    <x v="13"/>
    <n v="43"/>
    <n v="258"/>
    <x v="43"/>
    <x v="42"/>
    <x v="2"/>
    <x v="2"/>
    <x v="0"/>
    <x v="0"/>
    <x v="21"/>
    <n v="1"/>
    <x v="6"/>
    <x v="2"/>
  </r>
  <r>
    <x v="1109"/>
    <x v="6"/>
    <x v="9"/>
    <n v="108.8"/>
    <n v="544"/>
    <x v="43"/>
    <x v="41"/>
    <x v="2"/>
    <x v="4"/>
    <x v="2"/>
    <x v="0"/>
    <x v="21"/>
    <n v="3"/>
    <x v="6"/>
    <x v="2"/>
  </r>
  <r>
    <x v="1110"/>
    <x v="0"/>
    <x v="11"/>
    <n v="29.3"/>
    <n v="263.7"/>
    <x v="43"/>
    <x v="48"/>
    <x v="1"/>
    <x v="4"/>
    <x v="2"/>
    <x v="0"/>
    <x v="21"/>
    <n v="2"/>
    <x v="6"/>
    <x v="1"/>
  </r>
  <r>
    <x v="1111"/>
    <x v="2"/>
    <x v="0"/>
    <n v="122.7"/>
    <n v="122.7"/>
    <x v="43"/>
    <x v="41"/>
    <x v="3"/>
    <x v="0"/>
    <x v="2"/>
    <x v="0"/>
    <x v="1"/>
    <n v="3"/>
    <x v="6"/>
    <x v="3"/>
  </r>
  <r>
    <x v="1112"/>
    <x v="4"/>
    <x v="3"/>
    <n v="22.9"/>
    <n v="160.29999999999998"/>
    <x v="43"/>
    <x v="42"/>
    <x v="2"/>
    <x v="0"/>
    <x v="0"/>
    <x v="0"/>
    <x v="42"/>
    <n v="1"/>
    <x v="6"/>
    <x v="2"/>
  </r>
  <r>
    <x v="1113"/>
    <x v="8"/>
    <x v="7"/>
    <n v="25.5"/>
    <n v="255"/>
    <x v="43"/>
    <x v="49"/>
    <x v="2"/>
    <x v="0"/>
    <x v="0"/>
    <x v="0"/>
    <x v="33"/>
    <n v="7"/>
    <x v="6"/>
    <x v="2"/>
  </r>
  <r>
    <x v="1114"/>
    <x v="17"/>
    <x v="2"/>
    <n v="23.4"/>
    <n v="70.199999999999989"/>
    <x v="43"/>
    <x v="43"/>
    <x v="2"/>
    <x v="0"/>
    <x v="2"/>
    <x v="0"/>
    <x v="3"/>
    <n v="4"/>
    <x v="6"/>
    <x v="2"/>
  </r>
  <r>
    <x v="1115"/>
    <x v="5"/>
    <x v="8"/>
    <n v="27.4"/>
    <n v="219.2"/>
    <x v="43"/>
    <x v="41"/>
    <x v="2"/>
    <x v="2"/>
    <x v="0"/>
    <x v="0"/>
    <x v="3"/>
    <n v="3"/>
    <x v="6"/>
    <x v="2"/>
  </r>
  <r>
    <x v="1116"/>
    <x v="5"/>
    <x v="9"/>
    <n v="68.400000000000006"/>
    <n v="342"/>
    <x v="43"/>
    <x v="42"/>
    <x v="2"/>
    <x v="0"/>
    <x v="0"/>
    <x v="0"/>
    <x v="3"/>
    <n v="1"/>
    <x v="6"/>
    <x v="2"/>
  </r>
  <r>
    <x v="1117"/>
    <x v="6"/>
    <x v="0"/>
    <n v="51.9"/>
    <n v="51.9"/>
    <x v="43"/>
    <x v="45"/>
    <x v="2"/>
    <x v="0"/>
    <x v="0"/>
    <x v="0"/>
    <x v="3"/>
    <n v="0"/>
    <x v="6"/>
    <x v="2"/>
  </r>
  <r>
    <x v="1118"/>
    <x v="0"/>
    <x v="9"/>
    <n v="26.4"/>
    <n v="132"/>
    <x v="43"/>
    <x v="41"/>
    <x v="2"/>
    <x v="0"/>
    <x v="2"/>
    <x v="0"/>
    <x v="3"/>
    <n v="3"/>
    <x v="6"/>
    <x v="2"/>
  </r>
  <r>
    <x v="1119"/>
    <x v="12"/>
    <x v="1"/>
    <n v="117"/>
    <n v="234"/>
    <x v="43"/>
    <x v="42"/>
    <x v="2"/>
    <x v="1"/>
    <x v="1"/>
    <x v="0"/>
    <x v="3"/>
    <n v="1"/>
    <x v="6"/>
    <x v="2"/>
  </r>
  <r>
    <x v="1120"/>
    <x v="7"/>
    <x v="2"/>
    <n v="49.6"/>
    <n v="148.80000000000001"/>
    <x v="44"/>
    <x v="41"/>
    <x v="2"/>
    <x v="0"/>
    <x v="0"/>
    <x v="0"/>
    <x v="3"/>
    <n v="2"/>
    <x v="6"/>
    <x v="2"/>
  </r>
  <r>
    <x v="1121"/>
    <x v="4"/>
    <x v="2"/>
    <n v="38"/>
    <n v="114"/>
    <x v="44"/>
    <x v="43"/>
    <x v="1"/>
    <x v="2"/>
    <x v="4"/>
    <x v="0"/>
    <x v="3"/>
    <n v="3"/>
    <x v="6"/>
    <x v="1"/>
  </r>
  <r>
    <x v="1122"/>
    <x v="0"/>
    <x v="2"/>
    <n v="20.6"/>
    <n v="61.800000000000004"/>
    <x v="44"/>
    <x v="41"/>
    <x v="2"/>
    <x v="4"/>
    <x v="2"/>
    <x v="0"/>
    <x v="3"/>
    <n v="2"/>
    <x v="6"/>
    <x v="2"/>
  </r>
  <r>
    <x v="1123"/>
    <x v="0"/>
    <x v="1"/>
    <n v="16"/>
    <n v="32"/>
    <x v="44"/>
    <x v="48"/>
    <x v="1"/>
    <x v="1"/>
    <x v="1"/>
    <x v="0"/>
    <x v="49"/>
    <n v="1"/>
    <x v="6"/>
    <x v="1"/>
  </r>
  <r>
    <x v="1124"/>
    <x v="15"/>
    <x v="12"/>
    <n v="49.3"/>
    <n v="197.2"/>
    <x v="44"/>
    <x v="48"/>
    <x v="2"/>
    <x v="2"/>
    <x v="0"/>
    <x v="0"/>
    <x v="23"/>
    <n v="1"/>
    <x v="6"/>
    <x v="2"/>
  </r>
  <r>
    <x v="1125"/>
    <x v="9"/>
    <x v="1"/>
    <n v="24.1"/>
    <n v="48.2"/>
    <x v="44"/>
    <x v="50"/>
    <x v="2"/>
    <x v="0"/>
    <x v="0"/>
    <x v="0"/>
    <x v="6"/>
    <n v="4"/>
    <x v="6"/>
    <x v="2"/>
  </r>
  <r>
    <x v="1126"/>
    <x v="15"/>
    <x v="8"/>
    <n v="32.700000000000003"/>
    <n v="261.60000000000002"/>
    <x v="44"/>
    <x v="48"/>
    <x v="2"/>
    <x v="1"/>
    <x v="0"/>
    <x v="0"/>
    <x v="6"/>
    <n v="1"/>
    <x v="6"/>
    <x v="2"/>
  </r>
  <r>
    <x v="1127"/>
    <x v="6"/>
    <x v="2"/>
    <n v="74.400000000000006"/>
    <n v="223.20000000000002"/>
    <x v="44"/>
    <x v="48"/>
    <x v="2"/>
    <x v="3"/>
    <x v="2"/>
    <x v="0"/>
    <x v="8"/>
    <n v="1"/>
    <x v="6"/>
    <x v="2"/>
  </r>
  <r>
    <x v="1128"/>
    <x v="12"/>
    <x v="0"/>
    <n v="45.6"/>
    <n v="45.6"/>
    <x v="44"/>
    <x v="50"/>
    <x v="2"/>
    <x v="4"/>
    <x v="0"/>
    <x v="0"/>
    <x v="8"/>
    <n v="4"/>
    <x v="6"/>
    <x v="2"/>
  </r>
  <r>
    <x v="1129"/>
    <x v="8"/>
    <x v="8"/>
    <n v="19.600000000000001"/>
    <n v="156.80000000000001"/>
    <x v="44"/>
    <x v="53"/>
    <x v="2"/>
    <x v="0"/>
    <x v="0"/>
    <x v="0"/>
    <x v="8"/>
    <n v="13"/>
    <x v="6"/>
    <x v="2"/>
  </r>
  <r>
    <x v="1130"/>
    <x v="9"/>
    <x v="0"/>
    <n v="51.8"/>
    <n v="51.8"/>
    <x v="44"/>
    <x v="48"/>
    <x v="2"/>
    <x v="1"/>
    <x v="0"/>
    <x v="0"/>
    <x v="8"/>
    <n v="1"/>
    <x v="6"/>
    <x v="2"/>
  </r>
  <r>
    <x v="1131"/>
    <x v="6"/>
    <x v="0"/>
    <n v="74.7"/>
    <n v="74.7"/>
    <x v="44"/>
    <x v="48"/>
    <x v="1"/>
    <x v="0"/>
    <x v="1"/>
    <x v="0"/>
    <x v="8"/>
    <n v="1"/>
    <x v="6"/>
    <x v="1"/>
  </r>
  <r>
    <x v="1132"/>
    <x v="19"/>
    <x v="2"/>
    <n v="22.4"/>
    <n v="67.199999999999989"/>
    <x v="44"/>
    <x v="48"/>
    <x v="2"/>
    <x v="1"/>
    <x v="2"/>
    <x v="0"/>
    <x v="9"/>
    <n v="1"/>
    <x v="6"/>
    <x v="2"/>
  </r>
  <r>
    <x v="1133"/>
    <x v="1"/>
    <x v="12"/>
    <n v="31.4"/>
    <n v="125.6"/>
    <x v="44"/>
    <x v="48"/>
    <x v="2"/>
    <x v="1"/>
    <x v="0"/>
    <x v="0"/>
    <x v="9"/>
    <n v="1"/>
    <x v="6"/>
    <x v="2"/>
  </r>
  <r>
    <x v="1134"/>
    <x v="6"/>
    <x v="0"/>
    <n v="94"/>
    <n v="94"/>
    <x v="44"/>
    <x v="42"/>
    <x v="2"/>
    <x v="1"/>
    <x v="2"/>
    <x v="0"/>
    <x v="10"/>
    <n v="0"/>
    <x v="6"/>
    <x v="2"/>
  </r>
  <r>
    <x v="1135"/>
    <x v="10"/>
    <x v="0"/>
    <n v="22.3"/>
    <n v="22.3"/>
    <x v="44"/>
    <x v="48"/>
    <x v="1"/>
    <x v="4"/>
    <x v="0"/>
    <x v="0"/>
    <x v="20"/>
    <n v="1"/>
    <x v="6"/>
    <x v="1"/>
  </r>
  <r>
    <x v="1136"/>
    <x v="0"/>
    <x v="0"/>
    <n v="21.9"/>
    <n v="21.9"/>
    <x v="44"/>
    <x v="43"/>
    <x v="2"/>
    <x v="2"/>
    <x v="0"/>
    <x v="0"/>
    <x v="21"/>
    <n v="3"/>
    <x v="6"/>
    <x v="2"/>
  </r>
  <r>
    <x v="1137"/>
    <x v="17"/>
    <x v="2"/>
    <n v="27"/>
    <n v="81"/>
    <x v="44"/>
    <x v="41"/>
    <x v="2"/>
    <x v="4"/>
    <x v="2"/>
    <x v="0"/>
    <x v="2"/>
    <n v="2"/>
    <x v="6"/>
    <x v="2"/>
  </r>
  <r>
    <x v="1138"/>
    <x v="2"/>
    <x v="12"/>
    <n v="149.6"/>
    <n v="598.4"/>
    <x v="44"/>
    <x v="42"/>
    <x v="2"/>
    <x v="4"/>
    <x v="0"/>
    <x v="0"/>
    <x v="22"/>
    <n v="0"/>
    <x v="6"/>
    <x v="2"/>
  </r>
  <r>
    <x v="1139"/>
    <x v="2"/>
    <x v="12"/>
    <n v="129.1"/>
    <n v="516.4"/>
    <x v="44"/>
    <x v="54"/>
    <x v="1"/>
    <x v="0"/>
    <x v="1"/>
    <x v="0"/>
    <x v="3"/>
    <n v="10"/>
    <x v="6"/>
    <x v="1"/>
  </r>
  <r>
    <x v="1140"/>
    <x v="1"/>
    <x v="4"/>
    <n v="40.4"/>
    <n v="484.79999999999995"/>
    <x v="44"/>
    <x v="48"/>
    <x v="1"/>
    <x v="1"/>
    <x v="1"/>
    <x v="0"/>
    <x v="3"/>
    <n v="1"/>
    <x v="6"/>
    <x v="1"/>
  </r>
  <r>
    <x v="1141"/>
    <x v="4"/>
    <x v="2"/>
    <n v="48.5"/>
    <n v="145.5"/>
    <x v="44"/>
    <x v="41"/>
    <x v="2"/>
    <x v="0"/>
    <x v="4"/>
    <x v="0"/>
    <x v="3"/>
    <n v="2"/>
    <x v="6"/>
    <x v="2"/>
  </r>
  <r>
    <x v="1142"/>
    <x v="9"/>
    <x v="1"/>
    <n v="37.6"/>
    <n v="75.2"/>
    <x v="44"/>
    <x v="41"/>
    <x v="2"/>
    <x v="1"/>
    <x v="2"/>
    <x v="0"/>
    <x v="3"/>
    <n v="2"/>
    <x v="6"/>
    <x v="2"/>
  </r>
  <r>
    <x v="1143"/>
    <x v="8"/>
    <x v="1"/>
    <n v="19.600000000000001"/>
    <n v="39.200000000000003"/>
    <x v="44"/>
    <x v="48"/>
    <x v="1"/>
    <x v="3"/>
    <x v="4"/>
    <x v="0"/>
    <x v="43"/>
    <n v="1"/>
    <x v="6"/>
    <x v="1"/>
  </r>
  <r>
    <x v="1144"/>
    <x v="8"/>
    <x v="9"/>
    <n v="18.5"/>
    <n v="92.5"/>
    <x v="44"/>
    <x v="48"/>
    <x v="2"/>
    <x v="2"/>
    <x v="1"/>
    <x v="0"/>
    <x v="6"/>
    <n v="1"/>
    <x v="6"/>
    <x v="2"/>
  </r>
  <r>
    <x v="1145"/>
    <x v="5"/>
    <x v="2"/>
    <n v="25.5"/>
    <n v="76.5"/>
    <x v="44"/>
    <x v="41"/>
    <x v="2"/>
    <x v="4"/>
    <x v="1"/>
    <x v="0"/>
    <x v="6"/>
    <n v="2"/>
    <x v="6"/>
    <x v="2"/>
  </r>
  <r>
    <x v="1146"/>
    <x v="2"/>
    <x v="1"/>
    <n v="94.7"/>
    <n v="189.4"/>
    <x v="44"/>
    <x v="48"/>
    <x v="2"/>
    <x v="2"/>
    <x v="0"/>
    <x v="0"/>
    <x v="36"/>
    <n v="1"/>
    <x v="6"/>
    <x v="2"/>
  </r>
  <r>
    <x v="1147"/>
    <x v="1"/>
    <x v="13"/>
    <n v="38.799999999999997"/>
    <n v="232.79999999999998"/>
    <x v="44"/>
    <x v="46"/>
    <x v="2"/>
    <x v="2"/>
    <x v="2"/>
    <x v="0"/>
    <x v="8"/>
    <n v="5"/>
    <x v="6"/>
    <x v="2"/>
  </r>
  <r>
    <x v="1148"/>
    <x v="9"/>
    <x v="1"/>
    <n v="49.4"/>
    <n v="98.8"/>
    <x v="45"/>
    <x v="55"/>
    <x v="1"/>
    <x v="4"/>
    <x v="1"/>
    <x v="0"/>
    <x v="8"/>
    <n v="8"/>
    <x v="6"/>
    <x v="1"/>
  </r>
  <r>
    <x v="1149"/>
    <x v="7"/>
    <x v="2"/>
    <n v="68"/>
    <n v="204"/>
    <x v="45"/>
    <x v="50"/>
    <x v="1"/>
    <x v="0"/>
    <x v="2"/>
    <x v="0"/>
    <x v="8"/>
    <n v="3"/>
    <x v="6"/>
    <x v="1"/>
  </r>
  <r>
    <x v="1150"/>
    <x v="15"/>
    <x v="3"/>
    <n v="63.7"/>
    <n v="445.90000000000003"/>
    <x v="45"/>
    <x v="41"/>
    <x v="2"/>
    <x v="2"/>
    <x v="2"/>
    <x v="0"/>
    <x v="8"/>
    <n v="1"/>
    <x v="6"/>
    <x v="2"/>
  </r>
  <r>
    <x v="1151"/>
    <x v="10"/>
    <x v="1"/>
    <n v="66.2"/>
    <n v="132.4"/>
    <x v="45"/>
    <x v="41"/>
    <x v="2"/>
    <x v="4"/>
    <x v="2"/>
    <x v="0"/>
    <x v="17"/>
    <n v="1"/>
    <x v="6"/>
    <x v="2"/>
  </r>
  <r>
    <x v="1152"/>
    <x v="12"/>
    <x v="2"/>
    <n v="32.299999999999997"/>
    <n v="96.899999999999991"/>
    <x v="45"/>
    <x v="41"/>
    <x v="3"/>
    <x v="2"/>
    <x v="1"/>
    <x v="0"/>
    <x v="9"/>
    <n v="1"/>
    <x v="6"/>
    <x v="3"/>
  </r>
  <r>
    <x v="1153"/>
    <x v="4"/>
    <x v="1"/>
    <n v="66.900000000000006"/>
    <n v="133.80000000000001"/>
    <x v="45"/>
    <x v="50"/>
    <x v="1"/>
    <x v="1"/>
    <x v="0"/>
    <x v="0"/>
    <x v="11"/>
    <n v="3"/>
    <x v="6"/>
    <x v="1"/>
  </r>
  <r>
    <x v="1154"/>
    <x v="4"/>
    <x v="4"/>
    <n v="25.2"/>
    <n v="302.39999999999998"/>
    <x v="45"/>
    <x v="46"/>
    <x v="2"/>
    <x v="0"/>
    <x v="1"/>
    <x v="0"/>
    <x v="11"/>
    <n v="4"/>
    <x v="6"/>
    <x v="2"/>
  </r>
  <r>
    <x v="1155"/>
    <x v="10"/>
    <x v="13"/>
    <n v="29.5"/>
    <n v="177"/>
    <x v="45"/>
    <x v="41"/>
    <x v="1"/>
    <x v="2"/>
    <x v="0"/>
    <x v="0"/>
    <x v="11"/>
    <n v="1"/>
    <x v="6"/>
    <x v="1"/>
  </r>
  <r>
    <x v="1156"/>
    <x v="8"/>
    <x v="9"/>
    <n v="21.6"/>
    <n v="108"/>
    <x v="45"/>
    <x v="43"/>
    <x v="2"/>
    <x v="0"/>
    <x v="2"/>
    <x v="0"/>
    <x v="32"/>
    <n v="2"/>
    <x v="6"/>
    <x v="2"/>
  </r>
  <r>
    <x v="1157"/>
    <x v="12"/>
    <x v="2"/>
    <n v="69"/>
    <n v="207"/>
    <x v="45"/>
    <x v="41"/>
    <x v="2"/>
    <x v="0"/>
    <x v="0"/>
    <x v="0"/>
    <x v="18"/>
    <n v="1"/>
    <x v="6"/>
    <x v="2"/>
  </r>
  <r>
    <x v="1158"/>
    <x v="7"/>
    <x v="1"/>
    <n v="115"/>
    <n v="230"/>
    <x v="45"/>
    <x v="46"/>
    <x v="1"/>
    <x v="0"/>
    <x v="2"/>
    <x v="0"/>
    <x v="18"/>
    <n v="4"/>
    <x v="6"/>
    <x v="1"/>
  </r>
  <r>
    <x v="1159"/>
    <x v="2"/>
    <x v="1"/>
    <n v="109.3"/>
    <n v="218.6"/>
    <x v="45"/>
    <x v="43"/>
    <x v="0"/>
    <x v="3"/>
    <x v="1"/>
    <x v="0"/>
    <x v="19"/>
    <n v="2"/>
    <x v="6"/>
    <x v="0"/>
  </r>
  <r>
    <x v="1160"/>
    <x v="9"/>
    <x v="1"/>
    <n v="66.599999999999994"/>
    <n v="133.19999999999999"/>
    <x v="45"/>
    <x v="50"/>
    <x v="0"/>
    <x v="4"/>
    <x v="1"/>
    <x v="0"/>
    <x v="19"/>
    <n v="3"/>
    <x v="6"/>
    <x v="0"/>
  </r>
  <r>
    <x v="1161"/>
    <x v="12"/>
    <x v="9"/>
    <n v="47.7"/>
    <n v="238.5"/>
    <x v="45"/>
    <x v="41"/>
    <x v="1"/>
    <x v="3"/>
    <x v="2"/>
    <x v="0"/>
    <x v="21"/>
    <n v="1"/>
    <x v="6"/>
    <x v="1"/>
  </r>
  <r>
    <x v="1162"/>
    <x v="8"/>
    <x v="1"/>
    <n v="46"/>
    <n v="92"/>
    <x v="45"/>
    <x v="41"/>
    <x v="2"/>
    <x v="4"/>
    <x v="4"/>
    <x v="0"/>
    <x v="22"/>
    <n v="1"/>
    <x v="6"/>
    <x v="2"/>
  </r>
  <r>
    <x v="1163"/>
    <x v="1"/>
    <x v="13"/>
    <n v="39.299999999999997"/>
    <n v="235.79999999999998"/>
    <x v="45"/>
    <x v="43"/>
    <x v="1"/>
    <x v="3"/>
    <x v="2"/>
    <x v="0"/>
    <x v="3"/>
    <n v="2"/>
    <x v="6"/>
    <x v="1"/>
  </r>
  <r>
    <x v="1164"/>
    <x v="9"/>
    <x v="0"/>
    <n v="70.2"/>
    <n v="70.2"/>
    <x v="45"/>
    <x v="41"/>
    <x v="2"/>
    <x v="0"/>
    <x v="4"/>
    <x v="0"/>
    <x v="3"/>
    <n v="1"/>
    <x v="6"/>
    <x v="2"/>
  </r>
  <r>
    <x v="1165"/>
    <x v="3"/>
    <x v="12"/>
    <n v="71.5"/>
    <n v="286"/>
    <x v="45"/>
    <x v="48"/>
    <x v="2"/>
    <x v="1"/>
    <x v="2"/>
    <x v="0"/>
    <x v="3"/>
    <n v="0"/>
    <x v="6"/>
    <x v="2"/>
  </r>
  <r>
    <x v="1166"/>
    <x v="10"/>
    <x v="3"/>
    <n v="31"/>
    <n v="217"/>
    <x v="45"/>
    <x v="56"/>
    <x v="2"/>
    <x v="3"/>
    <x v="2"/>
    <x v="0"/>
    <x v="3"/>
    <n v="7"/>
    <x v="6"/>
    <x v="2"/>
  </r>
  <r>
    <x v="1167"/>
    <x v="2"/>
    <x v="9"/>
    <n v="68.2"/>
    <n v="341"/>
    <x v="45"/>
    <x v="49"/>
    <x v="2"/>
    <x v="0"/>
    <x v="2"/>
    <x v="0"/>
    <x v="3"/>
    <n v="5"/>
    <x v="6"/>
    <x v="2"/>
  </r>
  <r>
    <x v="1168"/>
    <x v="2"/>
    <x v="0"/>
    <n v="91.4"/>
    <n v="91.4"/>
    <x v="45"/>
    <x v="46"/>
    <x v="2"/>
    <x v="1"/>
    <x v="2"/>
    <x v="0"/>
    <x v="6"/>
    <n v="4"/>
    <x v="6"/>
    <x v="2"/>
  </r>
  <r>
    <x v="1169"/>
    <x v="6"/>
    <x v="7"/>
    <n v="112.9"/>
    <n v="1129"/>
    <x v="45"/>
    <x v="41"/>
    <x v="2"/>
    <x v="0"/>
    <x v="0"/>
    <x v="0"/>
    <x v="6"/>
    <n v="1"/>
    <x v="6"/>
    <x v="2"/>
  </r>
  <r>
    <x v="1170"/>
    <x v="17"/>
    <x v="11"/>
    <n v="33.700000000000003"/>
    <n v="303.3"/>
    <x v="45"/>
    <x v="41"/>
    <x v="2"/>
    <x v="1"/>
    <x v="2"/>
    <x v="0"/>
    <x v="8"/>
    <n v="1"/>
    <x v="6"/>
    <x v="2"/>
  </r>
  <r>
    <x v="1171"/>
    <x v="15"/>
    <x v="7"/>
    <n v="35.299999999999997"/>
    <n v="353"/>
    <x v="45"/>
    <x v="43"/>
    <x v="1"/>
    <x v="2"/>
    <x v="0"/>
    <x v="0"/>
    <x v="8"/>
    <n v="2"/>
    <x v="6"/>
    <x v="1"/>
  </r>
  <r>
    <x v="1172"/>
    <x v="18"/>
    <x v="2"/>
    <n v="45.6"/>
    <n v="136.80000000000001"/>
    <x v="45"/>
    <x v="46"/>
    <x v="1"/>
    <x v="3"/>
    <x v="0"/>
    <x v="0"/>
    <x v="8"/>
    <n v="4"/>
    <x v="6"/>
    <x v="1"/>
  </r>
  <r>
    <x v="1173"/>
    <x v="7"/>
    <x v="3"/>
    <n v="47.1"/>
    <n v="329.7"/>
    <x v="45"/>
    <x v="41"/>
    <x v="2"/>
    <x v="4"/>
    <x v="2"/>
    <x v="0"/>
    <x v="9"/>
    <n v="1"/>
    <x v="6"/>
    <x v="2"/>
  </r>
  <r>
    <x v="1174"/>
    <x v="8"/>
    <x v="9"/>
    <n v="16.2"/>
    <n v="81"/>
    <x v="45"/>
    <x v="43"/>
    <x v="2"/>
    <x v="3"/>
    <x v="2"/>
    <x v="0"/>
    <x v="19"/>
    <n v="2"/>
    <x v="6"/>
    <x v="2"/>
  </r>
  <r>
    <x v="1175"/>
    <x v="1"/>
    <x v="1"/>
    <n v="159.69999999999999"/>
    <n v="319.39999999999998"/>
    <x v="46"/>
    <x v="43"/>
    <x v="1"/>
    <x v="4"/>
    <x v="0"/>
    <x v="0"/>
    <x v="13"/>
    <n v="1"/>
    <x v="7"/>
    <x v="1"/>
  </r>
  <r>
    <x v="1176"/>
    <x v="8"/>
    <x v="12"/>
    <n v="19"/>
    <n v="76"/>
    <x v="46"/>
    <x v="55"/>
    <x v="2"/>
    <x v="2"/>
    <x v="2"/>
    <x v="0"/>
    <x v="21"/>
    <n v="7"/>
    <x v="7"/>
    <x v="2"/>
  </r>
  <r>
    <x v="1177"/>
    <x v="6"/>
    <x v="13"/>
    <n v="91.1"/>
    <n v="546.59999999999991"/>
    <x v="46"/>
    <x v="51"/>
    <x v="2"/>
    <x v="4"/>
    <x v="0"/>
    <x v="0"/>
    <x v="21"/>
    <n v="9"/>
    <x v="7"/>
    <x v="2"/>
  </r>
  <r>
    <x v="1178"/>
    <x v="2"/>
    <x v="9"/>
    <n v="94.1"/>
    <n v="470.5"/>
    <x v="46"/>
    <x v="46"/>
    <x v="0"/>
    <x v="1"/>
    <x v="1"/>
    <x v="0"/>
    <x v="21"/>
    <n v="3"/>
    <x v="7"/>
    <x v="0"/>
  </r>
  <r>
    <x v="1179"/>
    <x v="9"/>
    <x v="11"/>
    <n v="21.1"/>
    <n v="189.9"/>
    <x v="46"/>
    <x v="43"/>
    <x v="2"/>
    <x v="4"/>
    <x v="2"/>
    <x v="0"/>
    <x v="51"/>
    <n v="1"/>
    <x v="7"/>
    <x v="2"/>
  </r>
  <r>
    <x v="1180"/>
    <x v="8"/>
    <x v="3"/>
    <n v="15.3"/>
    <n v="107.10000000000001"/>
    <x v="46"/>
    <x v="54"/>
    <x v="2"/>
    <x v="2"/>
    <x v="0"/>
    <x v="0"/>
    <x v="1"/>
    <n v="8"/>
    <x v="7"/>
    <x v="2"/>
  </r>
  <r>
    <x v="1181"/>
    <x v="15"/>
    <x v="12"/>
    <n v="21.3"/>
    <n v="85.2"/>
    <x v="46"/>
    <x v="46"/>
    <x v="1"/>
    <x v="1"/>
    <x v="0"/>
    <x v="0"/>
    <x v="3"/>
    <n v="3"/>
    <x v="7"/>
    <x v="1"/>
  </r>
  <r>
    <x v="1182"/>
    <x v="0"/>
    <x v="1"/>
    <n v="23.2"/>
    <n v="46.4"/>
    <x v="46"/>
    <x v="41"/>
    <x v="0"/>
    <x v="3"/>
    <x v="1"/>
    <x v="0"/>
    <x v="3"/>
    <n v="0"/>
    <x v="7"/>
    <x v="0"/>
  </r>
  <r>
    <x v="1183"/>
    <x v="4"/>
    <x v="2"/>
    <n v="25.7"/>
    <n v="77.099999999999994"/>
    <x v="46"/>
    <x v="43"/>
    <x v="1"/>
    <x v="4"/>
    <x v="0"/>
    <x v="0"/>
    <x v="3"/>
    <n v="1"/>
    <x v="7"/>
    <x v="1"/>
  </r>
  <r>
    <x v="1184"/>
    <x v="0"/>
    <x v="11"/>
    <n v="31.6"/>
    <n v="284.40000000000003"/>
    <x v="46"/>
    <x v="50"/>
    <x v="2"/>
    <x v="0"/>
    <x v="0"/>
    <x v="0"/>
    <x v="3"/>
    <n v="2"/>
    <x v="7"/>
    <x v="2"/>
  </r>
  <r>
    <x v="1185"/>
    <x v="6"/>
    <x v="0"/>
    <n v="64.2"/>
    <n v="64.2"/>
    <x v="46"/>
    <x v="47"/>
    <x v="1"/>
    <x v="0"/>
    <x v="0"/>
    <x v="0"/>
    <x v="3"/>
    <n v="5"/>
    <x v="7"/>
    <x v="1"/>
  </r>
  <r>
    <x v="1186"/>
    <x v="8"/>
    <x v="1"/>
    <n v="55.8"/>
    <n v="111.6"/>
    <x v="46"/>
    <x v="50"/>
    <x v="0"/>
    <x v="0"/>
    <x v="0"/>
    <x v="0"/>
    <x v="3"/>
    <n v="2"/>
    <x v="7"/>
    <x v="0"/>
  </r>
  <r>
    <x v="1187"/>
    <x v="8"/>
    <x v="1"/>
    <n v="28.1"/>
    <n v="56.2"/>
    <x v="46"/>
    <x v="43"/>
    <x v="2"/>
    <x v="4"/>
    <x v="1"/>
    <x v="0"/>
    <x v="3"/>
    <n v="1"/>
    <x v="7"/>
    <x v="2"/>
  </r>
  <r>
    <x v="1188"/>
    <x v="0"/>
    <x v="1"/>
    <n v="11.6"/>
    <n v="23.2"/>
    <x v="46"/>
    <x v="50"/>
    <x v="2"/>
    <x v="1"/>
    <x v="0"/>
    <x v="0"/>
    <x v="24"/>
    <n v="2"/>
    <x v="7"/>
    <x v="2"/>
  </r>
  <r>
    <x v="1189"/>
    <x v="5"/>
    <x v="2"/>
    <n v="50.4"/>
    <n v="151.19999999999999"/>
    <x v="46"/>
    <x v="43"/>
    <x v="1"/>
    <x v="4"/>
    <x v="2"/>
    <x v="0"/>
    <x v="25"/>
    <n v="1"/>
    <x v="7"/>
    <x v="1"/>
  </r>
  <r>
    <x v="1190"/>
    <x v="6"/>
    <x v="13"/>
    <n v="48.3"/>
    <n v="289.79999999999995"/>
    <x v="46"/>
    <x v="49"/>
    <x v="2"/>
    <x v="0"/>
    <x v="0"/>
    <x v="0"/>
    <x v="25"/>
    <n v="4"/>
    <x v="7"/>
    <x v="2"/>
  </r>
  <r>
    <x v="1191"/>
    <x v="17"/>
    <x v="3"/>
    <n v="32.200000000000003"/>
    <n v="225.40000000000003"/>
    <x v="46"/>
    <x v="50"/>
    <x v="2"/>
    <x v="2"/>
    <x v="0"/>
    <x v="0"/>
    <x v="25"/>
    <n v="2"/>
    <x v="7"/>
    <x v="2"/>
  </r>
  <r>
    <x v="1192"/>
    <x v="7"/>
    <x v="31"/>
    <n v="48.5"/>
    <n v="1358"/>
    <x v="46"/>
    <x v="43"/>
    <x v="1"/>
    <x v="0"/>
    <x v="0"/>
    <x v="0"/>
    <x v="5"/>
    <n v="1"/>
    <x v="7"/>
    <x v="1"/>
  </r>
  <r>
    <x v="1193"/>
    <x v="2"/>
    <x v="9"/>
    <n v="62"/>
    <n v="310"/>
    <x v="46"/>
    <x v="46"/>
    <x v="2"/>
    <x v="1"/>
    <x v="0"/>
    <x v="0"/>
    <x v="6"/>
    <n v="3"/>
    <x v="7"/>
    <x v="2"/>
  </r>
  <r>
    <x v="1194"/>
    <x v="8"/>
    <x v="2"/>
    <n v="32.1"/>
    <n v="96.300000000000011"/>
    <x v="47"/>
    <x v="46"/>
    <x v="1"/>
    <x v="0"/>
    <x v="0"/>
    <x v="0"/>
    <x v="6"/>
    <n v="2"/>
    <x v="7"/>
    <x v="1"/>
  </r>
  <r>
    <x v="1195"/>
    <x v="12"/>
    <x v="2"/>
    <n v="106.1"/>
    <n v="318.29999999999995"/>
    <x v="47"/>
    <x v="46"/>
    <x v="1"/>
    <x v="0"/>
    <x v="1"/>
    <x v="0"/>
    <x v="7"/>
    <n v="2"/>
    <x v="7"/>
    <x v="1"/>
  </r>
  <r>
    <x v="1196"/>
    <x v="10"/>
    <x v="2"/>
    <n v="23.5"/>
    <n v="70.5"/>
    <x v="47"/>
    <x v="49"/>
    <x v="1"/>
    <x v="0"/>
    <x v="4"/>
    <x v="0"/>
    <x v="7"/>
    <n v="3"/>
    <x v="7"/>
    <x v="1"/>
  </r>
  <r>
    <x v="1197"/>
    <x v="1"/>
    <x v="1"/>
    <n v="35.6"/>
    <n v="71.2"/>
    <x v="47"/>
    <x v="56"/>
    <x v="1"/>
    <x v="4"/>
    <x v="0"/>
    <x v="0"/>
    <x v="8"/>
    <n v="5"/>
    <x v="7"/>
    <x v="1"/>
  </r>
  <r>
    <x v="1198"/>
    <x v="1"/>
    <x v="1"/>
    <n v="63.5"/>
    <n v="127"/>
    <x v="47"/>
    <x v="43"/>
    <x v="2"/>
    <x v="1"/>
    <x v="2"/>
    <x v="0"/>
    <x v="8"/>
    <n v="0"/>
    <x v="7"/>
    <x v="2"/>
  </r>
  <r>
    <x v="1199"/>
    <x v="6"/>
    <x v="3"/>
    <n v="82.9"/>
    <n v="580.30000000000007"/>
    <x v="47"/>
    <x v="56"/>
    <x v="2"/>
    <x v="4"/>
    <x v="0"/>
    <x v="0"/>
    <x v="9"/>
    <n v="5"/>
    <x v="7"/>
    <x v="2"/>
  </r>
  <r>
    <x v="1200"/>
    <x v="6"/>
    <x v="1"/>
    <n v="83.6"/>
    <n v="167.2"/>
    <x v="47"/>
    <x v="56"/>
    <x v="2"/>
    <x v="0"/>
    <x v="0"/>
    <x v="0"/>
    <x v="11"/>
    <n v="5"/>
    <x v="7"/>
    <x v="2"/>
  </r>
  <r>
    <x v="1201"/>
    <x v="4"/>
    <x v="1"/>
    <n v="29.4"/>
    <n v="58.8"/>
    <x v="47"/>
    <x v="43"/>
    <x v="2"/>
    <x v="0"/>
    <x v="1"/>
    <x v="0"/>
    <x v="30"/>
    <n v="0"/>
    <x v="7"/>
    <x v="2"/>
  </r>
  <r>
    <x v="1202"/>
    <x v="2"/>
    <x v="2"/>
    <n v="107.1"/>
    <n v="321.29999999999995"/>
    <x v="47"/>
    <x v="47"/>
    <x v="2"/>
    <x v="2"/>
    <x v="0"/>
    <x v="0"/>
    <x v="20"/>
    <n v="4"/>
    <x v="7"/>
    <x v="2"/>
  </r>
  <r>
    <x v="1203"/>
    <x v="2"/>
    <x v="0"/>
    <n v="62.7"/>
    <n v="62.7"/>
    <x v="47"/>
    <x v="47"/>
    <x v="1"/>
    <x v="1"/>
    <x v="0"/>
    <x v="0"/>
    <x v="21"/>
    <n v="4"/>
    <x v="7"/>
    <x v="1"/>
  </r>
  <r>
    <x v="1204"/>
    <x v="11"/>
    <x v="0"/>
    <n v="41.6"/>
    <n v="41.6"/>
    <x v="47"/>
    <x v="50"/>
    <x v="1"/>
    <x v="0"/>
    <x v="1"/>
    <x v="0"/>
    <x v="1"/>
    <n v="1"/>
    <x v="7"/>
    <x v="1"/>
  </r>
  <r>
    <x v="1205"/>
    <x v="6"/>
    <x v="0"/>
    <n v="44.2"/>
    <n v="44.2"/>
    <x v="47"/>
    <x v="50"/>
    <x v="3"/>
    <x v="0"/>
    <x v="1"/>
    <x v="0"/>
    <x v="1"/>
    <n v="1"/>
    <x v="7"/>
    <x v="3"/>
  </r>
  <r>
    <x v="1206"/>
    <x v="4"/>
    <x v="13"/>
    <n v="40.4"/>
    <n v="242.39999999999998"/>
    <x v="47"/>
    <x v="57"/>
    <x v="2"/>
    <x v="2"/>
    <x v="0"/>
    <x v="0"/>
    <x v="22"/>
    <n v="13"/>
    <x v="7"/>
    <x v="2"/>
  </r>
  <r>
    <x v="1207"/>
    <x v="15"/>
    <x v="13"/>
    <n v="59.6"/>
    <n v="357.6"/>
    <x v="47"/>
    <x v="50"/>
    <x v="2"/>
    <x v="4"/>
    <x v="0"/>
    <x v="0"/>
    <x v="34"/>
    <n v="1"/>
    <x v="7"/>
    <x v="2"/>
  </r>
  <r>
    <x v="1208"/>
    <x v="17"/>
    <x v="4"/>
    <n v="63.8"/>
    <n v="765.59999999999991"/>
    <x v="47"/>
    <x v="50"/>
    <x v="1"/>
    <x v="1"/>
    <x v="0"/>
    <x v="0"/>
    <x v="3"/>
    <n v="1"/>
    <x v="7"/>
    <x v="1"/>
  </r>
  <r>
    <x v="1209"/>
    <x v="9"/>
    <x v="13"/>
    <n v="30.8"/>
    <n v="184.8"/>
    <x v="47"/>
    <x v="46"/>
    <x v="1"/>
    <x v="4"/>
    <x v="0"/>
    <x v="0"/>
    <x v="3"/>
    <n v="2"/>
    <x v="7"/>
    <x v="1"/>
  </r>
  <r>
    <x v="1210"/>
    <x v="1"/>
    <x v="1"/>
    <n v="41.5"/>
    <n v="83"/>
    <x v="47"/>
    <x v="49"/>
    <x v="3"/>
    <x v="0"/>
    <x v="0"/>
    <x v="0"/>
    <x v="3"/>
    <n v="3"/>
    <x v="7"/>
    <x v="3"/>
  </r>
  <r>
    <x v="1211"/>
    <x v="10"/>
    <x v="12"/>
    <n v="44.7"/>
    <n v="178.8"/>
    <x v="47"/>
    <x v="46"/>
    <x v="2"/>
    <x v="2"/>
    <x v="1"/>
    <x v="0"/>
    <x v="3"/>
    <n v="2"/>
    <x v="7"/>
    <x v="2"/>
  </r>
  <r>
    <x v="1212"/>
    <x v="12"/>
    <x v="1"/>
    <n v="64.099999999999994"/>
    <n v="128.19999999999999"/>
    <x v="47"/>
    <x v="47"/>
    <x v="2"/>
    <x v="1"/>
    <x v="4"/>
    <x v="0"/>
    <x v="3"/>
    <n v="4"/>
    <x v="7"/>
    <x v="2"/>
  </r>
  <r>
    <x v="1213"/>
    <x v="8"/>
    <x v="0"/>
    <n v="15.9"/>
    <n v="15.9"/>
    <x v="47"/>
    <x v="49"/>
    <x v="0"/>
    <x v="1"/>
    <x v="0"/>
    <x v="0"/>
    <x v="3"/>
    <n v="3"/>
    <x v="7"/>
    <x v="0"/>
  </r>
  <r>
    <x v="1214"/>
    <x v="6"/>
    <x v="1"/>
    <n v="78.7"/>
    <n v="157.4"/>
    <x v="47"/>
    <x v="43"/>
    <x v="2"/>
    <x v="2"/>
    <x v="1"/>
    <x v="0"/>
    <x v="3"/>
    <n v="0"/>
    <x v="7"/>
    <x v="2"/>
  </r>
  <r>
    <x v="1215"/>
    <x v="5"/>
    <x v="4"/>
    <n v="29.6"/>
    <n v="355.20000000000005"/>
    <x v="47"/>
    <x v="47"/>
    <x v="1"/>
    <x v="2"/>
    <x v="4"/>
    <x v="0"/>
    <x v="3"/>
    <n v="4"/>
    <x v="7"/>
    <x v="1"/>
  </r>
  <r>
    <x v="1216"/>
    <x v="8"/>
    <x v="12"/>
    <n v="21.5"/>
    <n v="86"/>
    <x v="47"/>
    <x v="49"/>
    <x v="1"/>
    <x v="1"/>
    <x v="0"/>
    <x v="0"/>
    <x v="3"/>
    <n v="3"/>
    <x v="7"/>
    <x v="1"/>
  </r>
  <r>
    <x v="1217"/>
    <x v="9"/>
    <x v="2"/>
    <n v="74.900000000000006"/>
    <n v="224.70000000000002"/>
    <x v="47"/>
    <x v="52"/>
    <x v="1"/>
    <x v="3"/>
    <x v="1"/>
    <x v="0"/>
    <x v="3"/>
    <n v="9"/>
    <x v="7"/>
    <x v="1"/>
  </r>
  <r>
    <x v="1218"/>
    <x v="10"/>
    <x v="13"/>
    <n v="45"/>
    <n v="270"/>
    <x v="47"/>
    <x v="56"/>
    <x v="2"/>
    <x v="2"/>
    <x v="0"/>
    <x v="0"/>
    <x v="3"/>
    <n v="5"/>
    <x v="7"/>
    <x v="2"/>
  </r>
  <r>
    <x v="1219"/>
    <x v="7"/>
    <x v="33"/>
    <n v="37.9"/>
    <n v="1288.5999999999999"/>
    <x v="47"/>
    <x v="50"/>
    <x v="1"/>
    <x v="0"/>
    <x v="0"/>
    <x v="0"/>
    <x v="3"/>
    <n v="1"/>
    <x v="7"/>
    <x v="1"/>
  </r>
  <r>
    <x v="1220"/>
    <x v="6"/>
    <x v="2"/>
    <n v="56.6"/>
    <n v="169.8"/>
    <x v="47"/>
    <x v="50"/>
    <x v="1"/>
    <x v="3"/>
    <x v="0"/>
    <x v="0"/>
    <x v="3"/>
    <n v="1"/>
    <x v="7"/>
    <x v="1"/>
  </r>
  <r>
    <x v="1221"/>
    <x v="3"/>
    <x v="15"/>
    <n v="84.5"/>
    <n v="1098.5"/>
    <x v="47"/>
    <x v="49"/>
    <x v="2"/>
    <x v="1"/>
    <x v="4"/>
    <x v="0"/>
    <x v="3"/>
    <n v="3"/>
    <x v="7"/>
    <x v="2"/>
  </r>
  <r>
    <x v="1222"/>
    <x v="2"/>
    <x v="9"/>
    <n v="105.4"/>
    <n v="527"/>
    <x v="47"/>
    <x v="46"/>
    <x v="2"/>
    <x v="1"/>
    <x v="1"/>
    <x v="0"/>
    <x v="3"/>
    <n v="2"/>
    <x v="7"/>
    <x v="2"/>
  </r>
  <r>
    <x v="1223"/>
    <x v="18"/>
    <x v="3"/>
    <n v="39.4"/>
    <n v="275.8"/>
    <x v="48"/>
    <x v="50"/>
    <x v="1"/>
    <x v="1"/>
    <x v="0"/>
    <x v="0"/>
    <x v="37"/>
    <n v="0"/>
    <x v="7"/>
    <x v="1"/>
  </r>
  <r>
    <x v="1224"/>
    <x v="19"/>
    <x v="2"/>
    <n v="38"/>
    <n v="114"/>
    <x v="48"/>
    <x v="47"/>
    <x v="1"/>
    <x v="4"/>
    <x v="1"/>
    <x v="0"/>
    <x v="6"/>
    <n v="3"/>
    <x v="7"/>
    <x v="1"/>
  </r>
  <r>
    <x v="1225"/>
    <x v="17"/>
    <x v="12"/>
    <n v="42.5"/>
    <n v="170"/>
    <x v="48"/>
    <x v="49"/>
    <x v="0"/>
    <x v="0"/>
    <x v="0"/>
    <x v="0"/>
    <x v="6"/>
    <n v="2"/>
    <x v="7"/>
    <x v="0"/>
  </r>
  <r>
    <x v="1226"/>
    <x v="15"/>
    <x v="0"/>
    <n v="62.3"/>
    <n v="62.3"/>
    <x v="48"/>
    <x v="53"/>
    <x v="1"/>
    <x v="0"/>
    <x v="2"/>
    <x v="0"/>
    <x v="6"/>
    <n v="9"/>
    <x v="7"/>
    <x v="1"/>
  </r>
  <r>
    <x v="1227"/>
    <x v="6"/>
    <x v="9"/>
    <n v="49.1"/>
    <n v="245.5"/>
    <x v="48"/>
    <x v="49"/>
    <x v="2"/>
    <x v="1"/>
    <x v="2"/>
    <x v="0"/>
    <x v="7"/>
    <n v="2"/>
    <x v="7"/>
    <x v="2"/>
  </r>
  <r>
    <x v="1228"/>
    <x v="3"/>
    <x v="1"/>
    <n v="30.5"/>
    <n v="61"/>
    <x v="48"/>
    <x v="47"/>
    <x v="1"/>
    <x v="0"/>
    <x v="2"/>
    <x v="0"/>
    <x v="8"/>
    <n v="3"/>
    <x v="7"/>
    <x v="1"/>
  </r>
  <r>
    <x v="1229"/>
    <x v="2"/>
    <x v="1"/>
    <n v="154.80000000000001"/>
    <n v="309.60000000000002"/>
    <x v="48"/>
    <x v="47"/>
    <x v="2"/>
    <x v="1"/>
    <x v="4"/>
    <x v="0"/>
    <x v="8"/>
    <n v="3"/>
    <x v="7"/>
    <x v="2"/>
  </r>
  <r>
    <x v="1230"/>
    <x v="6"/>
    <x v="0"/>
    <n v="45"/>
    <n v="45"/>
    <x v="48"/>
    <x v="56"/>
    <x v="1"/>
    <x v="3"/>
    <x v="1"/>
    <x v="0"/>
    <x v="8"/>
    <n v="4"/>
    <x v="7"/>
    <x v="1"/>
  </r>
  <r>
    <x v="1231"/>
    <x v="0"/>
    <x v="3"/>
    <n v="15.3"/>
    <n v="107.10000000000001"/>
    <x v="48"/>
    <x v="46"/>
    <x v="1"/>
    <x v="0"/>
    <x v="2"/>
    <x v="0"/>
    <x v="8"/>
    <n v="1"/>
    <x v="7"/>
    <x v="1"/>
  </r>
  <r>
    <x v="1232"/>
    <x v="2"/>
    <x v="5"/>
    <n v="88.6"/>
    <n v="974.59999999999991"/>
    <x v="48"/>
    <x v="47"/>
    <x v="2"/>
    <x v="0"/>
    <x v="4"/>
    <x v="0"/>
    <x v="17"/>
    <n v="3"/>
    <x v="7"/>
    <x v="2"/>
  </r>
  <r>
    <x v="1233"/>
    <x v="9"/>
    <x v="1"/>
    <n v="49.7"/>
    <n v="99.4"/>
    <x v="48"/>
    <x v="49"/>
    <x v="3"/>
    <x v="4"/>
    <x v="0"/>
    <x v="0"/>
    <x v="10"/>
    <n v="2"/>
    <x v="7"/>
    <x v="3"/>
  </r>
  <r>
    <x v="1234"/>
    <x v="10"/>
    <x v="0"/>
    <n v="29"/>
    <n v="29"/>
    <x v="48"/>
    <x v="46"/>
    <x v="1"/>
    <x v="0"/>
    <x v="0"/>
    <x v="0"/>
    <x v="11"/>
    <n v="1"/>
    <x v="7"/>
    <x v="1"/>
  </r>
  <r>
    <x v="1235"/>
    <x v="1"/>
    <x v="0"/>
    <n v="60.7"/>
    <n v="60.7"/>
    <x v="48"/>
    <x v="46"/>
    <x v="3"/>
    <x v="0"/>
    <x v="1"/>
    <x v="0"/>
    <x v="11"/>
    <n v="1"/>
    <x v="7"/>
    <x v="3"/>
  </r>
  <r>
    <x v="1236"/>
    <x v="17"/>
    <x v="12"/>
    <n v="87.4"/>
    <n v="349.6"/>
    <x v="48"/>
    <x v="49"/>
    <x v="0"/>
    <x v="0"/>
    <x v="0"/>
    <x v="0"/>
    <x v="11"/>
    <n v="2"/>
    <x v="7"/>
    <x v="0"/>
  </r>
  <r>
    <x v="1237"/>
    <x v="4"/>
    <x v="3"/>
    <n v="44.5"/>
    <n v="311.5"/>
    <x v="48"/>
    <x v="56"/>
    <x v="2"/>
    <x v="2"/>
    <x v="2"/>
    <x v="0"/>
    <x v="19"/>
    <n v="4"/>
    <x v="7"/>
    <x v="2"/>
  </r>
  <r>
    <x v="1238"/>
    <x v="2"/>
    <x v="0"/>
    <n v="141"/>
    <n v="141"/>
    <x v="48"/>
    <x v="46"/>
    <x v="1"/>
    <x v="4"/>
    <x v="2"/>
    <x v="0"/>
    <x v="19"/>
    <n v="1"/>
    <x v="7"/>
    <x v="1"/>
  </r>
  <r>
    <x v="1239"/>
    <x v="0"/>
    <x v="2"/>
    <n v="16.7"/>
    <n v="50.099999999999994"/>
    <x v="48"/>
    <x v="52"/>
    <x v="2"/>
    <x v="0"/>
    <x v="0"/>
    <x v="0"/>
    <x v="20"/>
    <n v="8"/>
    <x v="7"/>
    <x v="2"/>
  </r>
  <r>
    <x v="1240"/>
    <x v="1"/>
    <x v="1"/>
    <n v="77.5"/>
    <n v="155"/>
    <x v="48"/>
    <x v="46"/>
    <x v="0"/>
    <x v="2"/>
    <x v="2"/>
    <x v="0"/>
    <x v="13"/>
    <n v="1"/>
    <x v="7"/>
    <x v="0"/>
  </r>
  <r>
    <x v="1241"/>
    <x v="2"/>
    <x v="1"/>
    <n v="163"/>
    <n v="326"/>
    <x v="48"/>
    <x v="54"/>
    <x v="2"/>
    <x v="4"/>
    <x v="0"/>
    <x v="0"/>
    <x v="21"/>
    <n v="6"/>
    <x v="7"/>
    <x v="2"/>
  </r>
  <r>
    <x v="1242"/>
    <x v="4"/>
    <x v="11"/>
    <n v="21.4"/>
    <n v="192.6"/>
    <x v="48"/>
    <x v="47"/>
    <x v="2"/>
    <x v="0"/>
    <x v="0"/>
    <x v="0"/>
    <x v="51"/>
    <n v="3"/>
    <x v="7"/>
    <x v="2"/>
  </r>
  <r>
    <x v="1243"/>
    <x v="10"/>
    <x v="5"/>
    <n v="31"/>
    <n v="341"/>
    <x v="48"/>
    <x v="49"/>
    <x v="2"/>
    <x v="3"/>
    <x v="2"/>
    <x v="0"/>
    <x v="1"/>
    <n v="2"/>
    <x v="7"/>
    <x v="2"/>
  </r>
  <r>
    <x v="1244"/>
    <x v="7"/>
    <x v="1"/>
    <n v="34.299999999999997"/>
    <n v="68.599999999999994"/>
    <x v="48"/>
    <x v="49"/>
    <x v="2"/>
    <x v="0"/>
    <x v="3"/>
    <x v="0"/>
    <x v="1"/>
    <n v="2"/>
    <x v="7"/>
    <x v="2"/>
  </r>
  <r>
    <x v="1245"/>
    <x v="17"/>
    <x v="9"/>
    <n v="48.2"/>
    <n v="241"/>
    <x v="48"/>
    <x v="46"/>
    <x v="1"/>
    <x v="1"/>
    <x v="1"/>
    <x v="0"/>
    <x v="2"/>
    <n v="1"/>
    <x v="7"/>
    <x v="1"/>
  </r>
  <r>
    <x v="1246"/>
    <x v="10"/>
    <x v="0"/>
    <n v="51.4"/>
    <n v="51.4"/>
    <x v="48"/>
    <x v="46"/>
    <x v="1"/>
    <x v="0"/>
    <x v="0"/>
    <x v="0"/>
    <x v="3"/>
    <n v="1"/>
    <x v="7"/>
    <x v="1"/>
  </r>
  <r>
    <x v="1247"/>
    <x v="2"/>
    <x v="9"/>
    <n v="117.2"/>
    <n v="586"/>
    <x v="48"/>
    <x v="47"/>
    <x v="2"/>
    <x v="4"/>
    <x v="4"/>
    <x v="0"/>
    <x v="3"/>
    <n v="3"/>
    <x v="7"/>
    <x v="2"/>
  </r>
  <r>
    <x v="1248"/>
    <x v="8"/>
    <x v="0"/>
    <n v="38.1"/>
    <n v="38.1"/>
    <x v="48"/>
    <x v="50"/>
    <x v="1"/>
    <x v="4"/>
    <x v="1"/>
    <x v="0"/>
    <x v="3"/>
    <n v="0"/>
    <x v="7"/>
    <x v="1"/>
  </r>
  <r>
    <x v="1249"/>
    <x v="0"/>
    <x v="1"/>
    <n v="44.1"/>
    <n v="88.2"/>
    <x v="48"/>
    <x v="49"/>
    <x v="2"/>
    <x v="2"/>
    <x v="0"/>
    <x v="0"/>
    <x v="3"/>
    <n v="2"/>
    <x v="7"/>
    <x v="2"/>
  </r>
  <r>
    <x v="1250"/>
    <x v="15"/>
    <x v="12"/>
    <n v="80.5"/>
    <n v="322"/>
    <x v="48"/>
    <x v="55"/>
    <x v="1"/>
    <x v="0"/>
    <x v="0"/>
    <x v="0"/>
    <x v="3"/>
    <n v="5"/>
    <x v="7"/>
    <x v="1"/>
  </r>
  <r>
    <x v="1251"/>
    <x v="18"/>
    <x v="12"/>
    <n v="33.6"/>
    <n v="134.4"/>
    <x v="48"/>
    <x v="55"/>
    <x v="0"/>
    <x v="0"/>
    <x v="2"/>
    <x v="0"/>
    <x v="3"/>
    <n v="5"/>
    <x v="7"/>
    <x v="0"/>
  </r>
  <r>
    <x v="1252"/>
    <x v="9"/>
    <x v="11"/>
    <n v="41.8"/>
    <n v="376.2"/>
    <x v="48"/>
    <x v="46"/>
    <x v="2"/>
    <x v="0"/>
    <x v="1"/>
    <x v="0"/>
    <x v="3"/>
    <n v="1"/>
    <x v="7"/>
    <x v="2"/>
  </r>
  <r>
    <x v="1253"/>
    <x v="1"/>
    <x v="1"/>
    <n v="106.2"/>
    <n v="212.4"/>
    <x v="48"/>
    <x v="50"/>
    <x v="2"/>
    <x v="4"/>
    <x v="2"/>
    <x v="0"/>
    <x v="3"/>
    <n v="0"/>
    <x v="7"/>
    <x v="2"/>
  </r>
  <r>
    <x v="1254"/>
    <x v="1"/>
    <x v="1"/>
    <n v="52.6"/>
    <n v="105.2"/>
    <x v="48"/>
    <x v="46"/>
    <x v="2"/>
    <x v="0"/>
    <x v="2"/>
    <x v="0"/>
    <x v="5"/>
    <n v="1"/>
    <x v="7"/>
    <x v="2"/>
  </r>
  <r>
    <x v="1255"/>
    <x v="11"/>
    <x v="3"/>
    <n v="68.5"/>
    <n v="479.5"/>
    <x v="48"/>
    <x v="46"/>
    <x v="2"/>
    <x v="1"/>
    <x v="0"/>
    <x v="0"/>
    <x v="5"/>
    <n v="1"/>
    <x v="7"/>
    <x v="2"/>
  </r>
  <r>
    <x v="1256"/>
    <x v="1"/>
    <x v="1"/>
    <n v="55.6"/>
    <n v="111.2"/>
    <x v="48"/>
    <x v="49"/>
    <x v="1"/>
    <x v="1"/>
    <x v="2"/>
    <x v="0"/>
    <x v="6"/>
    <n v="2"/>
    <x v="7"/>
    <x v="1"/>
  </r>
  <r>
    <x v="1257"/>
    <x v="2"/>
    <x v="2"/>
    <n v="134.9"/>
    <n v="404.70000000000005"/>
    <x v="48"/>
    <x v="46"/>
    <x v="1"/>
    <x v="1"/>
    <x v="1"/>
    <x v="0"/>
    <x v="6"/>
    <n v="1"/>
    <x v="7"/>
    <x v="1"/>
  </r>
  <r>
    <x v="1258"/>
    <x v="10"/>
    <x v="9"/>
    <n v="42.6"/>
    <n v="213"/>
    <x v="48"/>
    <x v="46"/>
    <x v="1"/>
    <x v="0"/>
    <x v="0"/>
    <x v="0"/>
    <x v="6"/>
    <n v="1"/>
    <x v="7"/>
    <x v="1"/>
  </r>
  <r>
    <x v="1259"/>
    <x v="7"/>
    <x v="9"/>
    <n v="60.6"/>
    <n v="303"/>
    <x v="48"/>
    <x v="49"/>
    <x v="1"/>
    <x v="4"/>
    <x v="0"/>
    <x v="0"/>
    <x v="6"/>
    <n v="2"/>
    <x v="7"/>
    <x v="1"/>
  </r>
  <r>
    <x v="1260"/>
    <x v="8"/>
    <x v="1"/>
    <n v="43.5"/>
    <n v="87"/>
    <x v="48"/>
    <x v="46"/>
    <x v="1"/>
    <x v="4"/>
    <x v="0"/>
    <x v="0"/>
    <x v="7"/>
    <n v="1"/>
    <x v="7"/>
    <x v="1"/>
  </r>
  <r>
    <x v="1261"/>
    <x v="2"/>
    <x v="1"/>
    <n v="187.1"/>
    <n v="374.2"/>
    <x v="48"/>
    <x v="46"/>
    <x v="1"/>
    <x v="1"/>
    <x v="2"/>
    <x v="0"/>
    <x v="8"/>
    <n v="1"/>
    <x v="7"/>
    <x v="1"/>
  </r>
  <r>
    <x v="1262"/>
    <x v="9"/>
    <x v="2"/>
    <n v="32"/>
    <n v="96"/>
    <x v="48"/>
    <x v="49"/>
    <x v="1"/>
    <x v="0"/>
    <x v="0"/>
    <x v="0"/>
    <x v="8"/>
    <n v="2"/>
    <x v="7"/>
    <x v="1"/>
  </r>
  <r>
    <x v="1263"/>
    <x v="9"/>
    <x v="1"/>
    <n v="110.8"/>
    <n v="221.6"/>
    <x v="48"/>
    <x v="50"/>
    <x v="1"/>
    <x v="0"/>
    <x v="2"/>
    <x v="0"/>
    <x v="8"/>
    <n v="0"/>
    <x v="7"/>
    <x v="1"/>
  </r>
  <r>
    <x v="1264"/>
    <x v="10"/>
    <x v="15"/>
    <n v="36.1"/>
    <n v="469.3"/>
    <x v="48"/>
    <x v="47"/>
    <x v="2"/>
    <x v="0"/>
    <x v="1"/>
    <x v="0"/>
    <x v="8"/>
    <n v="3"/>
    <x v="7"/>
    <x v="2"/>
  </r>
  <r>
    <x v="1265"/>
    <x v="0"/>
    <x v="0"/>
    <n v="24.1"/>
    <n v="24.1"/>
    <x v="48"/>
    <x v="49"/>
    <x v="2"/>
    <x v="4"/>
    <x v="2"/>
    <x v="0"/>
    <x v="8"/>
    <n v="2"/>
    <x v="7"/>
    <x v="2"/>
  </r>
  <r>
    <x v="1266"/>
    <x v="19"/>
    <x v="2"/>
    <n v="30.5"/>
    <n v="91.5"/>
    <x v="48"/>
    <x v="49"/>
    <x v="1"/>
    <x v="1"/>
    <x v="0"/>
    <x v="0"/>
    <x v="8"/>
    <n v="2"/>
    <x v="7"/>
    <x v="1"/>
  </r>
  <r>
    <x v="1267"/>
    <x v="18"/>
    <x v="13"/>
    <n v="68.3"/>
    <n v="409.79999999999995"/>
    <x v="48"/>
    <x v="47"/>
    <x v="1"/>
    <x v="0"/>
    <x v="0"/>
    <x v="0"/>
    <x v="8"/>
    <n v="3"/>
    <x v="7"/>
    <x v="1"/>
  </r>
  <r>
    <x v="1268"/>
    <x v="7"/>
    <x v="2"/>
    <n v="43.3"/>
    <n v="129.89999999999998"/>
    <x v="48"/>
    <x v="56"/>
    <x v="2"/>
    <x v="0"/>
    <x v="0"/>
    <x v="0"/>
    <x v="17"/>
    <n v="4"/>
    <x v="7"/>
    <x v="2"/>
  </r>
  <r>
    <x v="1269"/>
    <x v="3"/>
    <x v="0"/>
    <n v="101.7"/>
    <n v="101.7"/>
    <x v="48"/>
    <x v="47"/>
    <x v="2"/>
    <x v="0"/>
    <x v="1"/>
    <x v="0"/>
    <x v="17"/>
    <n v="3"/>
    <x v="7"/>
    <x v="2"/>
  </r>
  <r>
    <x v="1270"/>
    <x v="11"/>
    <x v="1"/>
    <n v="54.2"/>
    <n v="108.4"/>
    <x v="48"/>
    <x v="46"/>
    <x v="2"/>
    <x v="0"/>
    <x v="1"/>
    <x v="0"/>
    <x v="17"/>
    <n v="1"/>
    <x v="7"/>
    <x v="2"/>
  </r>
  <r>
    <x v="1271"/>
    <x v="16"/>
    <x v="1"/>
    <n v="51"/>
    <n v="102"/>
    <x v="48"/>
    <x v="50"/>
    <x v="1"/>
    <x v="1"/>
    <x v="0"/>
    <x v="0"/>
    <x v="26"/>
    <n v="0"/>
    <x v="7"/>
    <x v="1"/>
  </r>
  <r>
    <x v="1272"/>
    <x v="4"/>
    <x v="1"/>
    <n v="23.1"/>
    <n v="46.2"/>
    <x v="48"/>
    <x v="47"/>
    <x v="1"/>
    <x v="1"/>
    <x v="0"/>
    <x v="0"/>
    <x v="10"/>
    <n v="3"/>
    <x v="7"/>
    <x v="1"/>
  </r>
  <r>
    <x v="1273"/>
    <x v="12"/>
    <x v="13"/>
    <n v="60.1"/>
    <n v="360.6"/>
    <x v="48"/>
    <x v="50"/>
    <x v="2"/>
    <x v="3"/>
    <x v="0"/>
    <x v="0"/>
    <x v="11"/>
    <n v="0"/>
    <x v="7"/>
    <x v="2"/>
  </r>
  <r>
    <x v="1274"/>
    <x v="2"/>
    <x v="3"/>
    <n v="87.5"/>
    <n v="612.5"/>
    <x v="48"/>
    <x v="49"/>
    <x v="2"/>
    <x v="0"/>
    <x v="1"/>
    <x v="0"/>
    <x v="11"/>
    <n v="2"/>
    <x v="7"/>
    <x v="2"/>
  </r>
  <r>
    <x v="1275"/>
    <x v="1"/>
    <x v="2"/>
    <n v="51"/>
    <n v="153"/>
    <x v="48"/>
    <x v="46"/>
    <x v="2"/>
    <x v="1"/>
    <x v="0"/>
    <x v="0"/>
    <x v="11"/>
    <n v="1"/>
    <x v="7"/>
    <x v="2"/>
  </r>
  <r>
    <x v="1276"/>
    <x v="8"/>
    <x v="12"/>
    <n v="19.2"/>
    <n v="76.8"/>
    <x v="48"/>
    <x v="49"/>
    <x v="2"/>
    <x v="0"/>
    <x v="0"/>
    <x v="0"/>
    <x v="11"/>
    <n v="2"/>
    <x v="7"/>
    <x v="2"/>
  </r>
  <r>
    <x v="1277"/>
    <x v="5"/>
    <x v="8"/>
    <n v="26.5"/>
    <n v="212"/>
    <x v="48"/>
    <x v="46"/>
    <x v="0"/>
    <x v="3"/>
    <x v="2"/>
    <x v="0"/>
    <x v="11"/>
    <n v="1"/>
    <x v="7"/>
    <x v="0"/>
  </r>
  <r>
    <x v="1278"/>
    <x v="2"/>
    <x v="1"/>
    <n v="220.3"/>
    <n v="440.6"/>
    <x v="48"/>
    <x v="46"/>
    <x v="2"/>
    <x v="1"/>
    <x v="4"/>
    <x v="0"/>
    <x v="53"/>
    <n v="1"/>
    <x v="7"/>
    <x v="2"/>
  </r>
  <r>
    <x v="1279"/>
    <x v="8"/>
    <x v="2"/>
    <n v="45.7"/>
    <n v="137.10000000000002"/>
    <x v="48"/>
    <x v="46"/>
    <x v="2"/>
    <x v="4"/>
    <x v="0"/>
    <x v="0"/>
    <x v="30"/>
    <n v="1"/>
    <x v="7"/>
    <x v="2"/>
  </r>
  <r>
    <x v="1280"/>
    <x v="5"/>
    <x v="9"/>
    <n v="47.1"/>
    <n v="235.5"/>
    <x v="48"/>
    <x v="56"/>
    <x v="2"/>
    <x v="3"/>
    <x v="0"/>
    <x v="0"/>
    <x v="13"/>
    <n v="4"/>
    <x v="7"/>
    <x v="2"/>
  </r>
  <r>
    <x v="1281"/>
    <x v="1"/>
    <x v="9"/>
    <n v="81.7"/>
    <n v="408.5"/>
    <x v="48"/>
    <x v="46"/>
    <x v="2"/>
    <x v="0"/>
    <x v="2"/>
    <x v="0"/>
    <x v="21"/>
    <n v="1"/>
    <x v="7"/>
    <x v="2"/>
  </r>
  <r>
    <x v="1282"/>
    <x v="6"/>
    <x v="7"/>
    <n v="97.8"/>
    <n v="978"/>
    <x v="48"/>
    <x v="50"/>
    <x v="1"/>
    <x v="1"/>
    <x v="1"/>
    <x v="0"/>
    <x v="21"/>
    <n v="0"/>
    <x v="7"/>
    <x v="1"/>
  </r>
  <r>
    <x v="1283"/>
    <x v="6"/>
    <x v="2"/>
    <n v="42.4"/>
    <n v="127.19999999999999"/>
    <x v="48"/>
    <x v="46"/>
    <x v="2"/>
    <x v="0"/>
    <x v="2"/>
    <x v="0"/>
    <x v="54"/>
    <n v="1"/>
    <x v="7"/>
    <x v="2"/>
  </r>
  <r>
    <x v="1284"/>
    <x v="2"/>
    <x v="7"/>
    <n v="74.5"/>
    <n v="745"/>
    <x v="48"/>
    <x v="46"/>
    <x v="1"/>
    <x v="2"/>
    <x v="1"/>
    <x v="0"/>
    <x v="1"/>
    <n v="1"/>
    <x v="7"/>
    <x v="1"/>
  </r>
  <r>
    <x v="1285"/>
    <x v="17"/>
    <x v="13"/>
    <n v="47.4"/>
    <n v="284.39999999999998"/>
    <x v="48"/>
    <x v="46"/>
    <x v="1"/>
    <x v="1"/>
    <x v="0"/>
    <x v="0"/>
    <x v="1"/>
    <n v="1"/>
    <x v="7"/>
    <x v="1"/>
  </r>
  <r>
    <x v="1286"/>
    <x v="14"/>
    <x v="2"/>
    <n v="17.3"/>
    <n v="51.900000000000006"/>
    <x v="49"/>
    <x v="56"/>
    <x v="1"/>
    <x v="2"/>
    <x v="2"/>
    <x v="0"/>
    <x v="1"/>
    <n v="3"/>
    <x v="7"/>
    <x v="1"/>
  </r>
  <r>
    <x v="1287"/>
    <x v="12"/>
    <x v="12"/>
    <n v="77.900000000000006"/>
    <n v="311.60000000000002"/>
    <x v="49"/>
    <x v="49"/>
    <x v="1"/>
    <x v="1"/>
    <x v="0"/>
    <x v="0"/>
    <x v="2"/>
    <n v="1"/>
    <x v="7"/>
    <x v="1"/>
  </r>
  <r>
    <x v="1288"/>
    <x v="8"/>
    <x v="0"/>
    <n v="29.1"/>
    <n v="29.1"/>
    <x v="49"/>
    <x v="56"/>
    <x v="1"/>
    <x v="0"/>
    <x v="2"/>
    <x v="0"/>
    <x v="50"/>
    <n v="3"/>
    <x v="7"/>
    <x v="1"/>
  </r>
  <r>
    <x v="1289"/>
    <x v="8"/>
    <x v="0"/>
    <n v="49"/>
    <n v="49"/>
    <x v="49"/>
    <x v="49"/>
    <x v="1"/>
    <x v="1"/>
    <x v="0"/>
    <x v="0"/>
    <x v="3"/>
    <n v="1"/>
    <x v="7"/>
    <x v="1"/>
  </r>
  <r>
    <x v="1290"/>
    <x v="8"/>
    <x v="13"/>
    <n v="21.1"/>
    <n v="126.60000000000001"/>
    <x v="49"/>
    <x v="52"/>
    <x v="1"/>
    <x v="0"/>
    <x v="2"/>
    <x v="0"/>
    <x v="3"/>
    <n v="7"/>
    <x v="7"/>
    <x v="1"/>
  </r>
  <r>
    <x v="1291"/>
    <x v="4"/>
    <x v="10"/>
    <n v="36.9"/>
    <n v="701.1"/>
    <x v="49"/>
    <x v="46"/>
    <x v="2"/>
    <x v="0"/>
    <x v="0"/>
    <x v="0"/>
    <x v="3"/>
    <n v="0"/>
    <x v="7"/>
    <x v="2"/>
  </r>
  <r>
    <x v="1292"/>
    <x v="1"/>
    <x v="7"/>
    <n v="92.6"/>
    <n v="926"/>
    <x v="49"/>
    <x v="54"/>
    <x v="1"/>
    <x v="4"/>
    <x v="2"/>
    <x v="0"/>
    <x v="3"/>
    <n v="5"/>
    <x v="7"/>
    <x v="1"/>
  </r>
  <r>
    <x v="1293"/>
    <x v="10"/>
    <x v="1"/>
    <n v="38"/>
    <n v="76"/>
    <x v="49"/>
    <x v="49"/>
    <x v="1"/>
    <x v="1"/>
    <x v="1"/>
    <x v="0"/>
    <x v="3"/>
    <n v="1"/>
    <x v="7"/>
    <x v="1"/>
  </r>
  <r>
    <x v="1294"/>
    <x v="5"/>
    <x v="2"/>
    <n v="54.8"/>
    <n v="164.39999999999998"/>
    <x v="49"/>
    <x v="55"/>
    <x v="0"/>
    <x v="0"/>
    <x v="1"/>
    <x v="0"/>
    <x v="3"/>
    <n v="4"/>
    <x v="7"/>
    <x v="0"/>
  </r>
  <r>
    <x v="1295"/>
    <x v="10"/>
    <x v="4"/>
    <n v="56.8"/>
    <n v="681.59999999999991"/>
    <x v="49"/>
    <x v="47"/>
    <x v="1"/>
    <x v="1"/>
    <x v="0"/>
    <x v="0"/>
    <x v="3"/>
    <n v="2"/>
    <x v="7"/>
    <x v="1"/>
  </r>
  <r>
    <x v="1296"/>
    <x v="11"/>
    <x v="40"/>
    <n v="47.2"/>
    <n v="1557.6000000000001"/>
    <x v="49"/>
    <x v="56"/>
    <x v="2"/>
    <x v="1"/>
    <x v="0"/>
    <x v="0"/>
    <x v="3"/>
    <n v="3"/>
    <x v="7"/>
    <x v="2"/>
  </r>
  <r>
    <x v="1297"/>
    <x v="7"/>
    <x v="13"/>
    <n v="45.1"/>
    <n v="270.60000000000002"/>
    <x v="49"/>
    <x v="49"/>
    <x v="2"/>
    <x v="2"/>
    <x v="0"/>
    <x v="0"/>
    <x v="43"/>
    <n v="1"/>
    <x v="7"/>
    <x v="2"/>
  </r>
  <r>
    <x v="1298"/>
    <x v="4"/>
    <x v="4"/>
    <n v="25.2"/>
    <n v="302.39999999999998"/>
    <x v="49"/>
    <x v="54"/>
    <x v="2"/>
    <x v="2"/>
    <x v="0"/>
    <x v="0"/>
    <x v="16"/>
    <n v="5"/>
    <x v="7"/>
    <x v="2"/>
  </r>
  <r>
    <x v="1299"/>
    <x v="8"/>
    <x v="0"/>
    <n v="22"/>
    <n v="22"/>
    <x v="49"/>
    <x v="49"/>
    <x v="2"/>
    <x v="0"/>
    <x v="0"/>
    <x v="0"/>
    <x v="5"/>
    <n v="1"/>
    <x v="7"/>
    <x v="2"/>
  </r>
  <r>
    <x v="1300"/>
    <x v="6"/>
    <x v="1"/>
    <n v="42.2"/>
    <n v="84.4"/>
    <x v="49"/>
    <x v="49"/>
    <x v="2"/>
    <x v="1"/>
    <x v="1"/>
    <x v="0"/>
    <x v="23"/>
    <n v="1"/>
    <x v="7"/>
    <x v="2"/>
  </r>
  <r>
    <x v="1301"/>
    <x v="13"/>
    <x v="2"/>
    <n v="20.5"/>
    <n v="61.5"/>
    <x v="49"/>
    <x v="49"/>
    <x v="1"/>
    <x v="0"/>
    <x v="1"/>
    <x v="0"/>
    <x v="6"/>
    <n v="1"/>
    <x v="7"/>
    <x v="1"/>
  </r>
  <r>
    <x v="1302"/>
    <x v="2"/>
    <x v="0"/>
    <n v="190.4"/>
    <n v="190.4"/>
    <x v="49"/>
    <x v="54"/>
    <x v="1"/>
    <x v="1"/>
    <x v="4"/>
    <x v="0"/>
    <x v="6"/>
    <n v="5"/>
    <x v="7"/>
    <x v="1"/>
  </r>
  <r>
    <x v="1303"/>
    <x v="2"/>
    <x v="0"/>
    <n v="121.9"/>
    <n v="121.9"/>
    <x v="49"/>
    <x v="47"/>
    <x v="2"/>
    <x v="1"/>
    <x v="2"/>
    <x v="0"/>
    <x v="6"/>
    <n v="2"/>
    <x v="7"/>
    <x v="2"/>
  </r>
  <r>
    <x v="1304"/>
    <x v="2"/>
    <x v="13"/>
    <n v="149.19999999999999"/>
    <n v="895.19999999999993"/>
    <x v="49"/>
    <x v="49"/>
    <x v="2"/>
    <x v="2"/>
    <x v="2"/>
    <x v="0"/>
    <x v="7"/>
    <n v="1"/>
    <x v="7"/>
    <x v="2"/>
  </r>
  <r>
    <x v="1305"/>
    <x v="2"/>
    <x v="0"/>
    <n v="54.1"/>
    <n v="54.1"/>
    <x v="49"/>
    <x v="58"/>
    <x v="2"/>
    <x v="2"/>
    <x v="2"/>
    <x v="0"/>
    <x v="7"/>
    <n v="9"/>
    <x v="7"/>
    <x v="2"/>
  </r>
  <r>
    <x v="1306"/>
    <x v="5"/>
    <x v="1"/>
    <n v="27.4"/>
    <n v="54.8"/>
    <x v="49"/>
    <x v="47"/>
    <x v="1"/>
    <x v="1"/>
    <x v="0"/>
    <x v="0"/>
    <x v="8"/>
    <n v="2"/>
    <x v="7"/>
    <x v="1"/>
  </r>
  <r>
    <x v="1307"/>
    <x v="0"/>
    <x v="15"/>
    <n v="30.4"/>
    <n v="395.2"/>
    <x v="49"/>
    <x v="49"/>
    <x v="2"/>
    <x v="0"/>
    <x v="2"/>
    <x v="0"/>
    <x v="8"/>
    <n v="1"/>
    <x v="7"/>
    <x v="2"/>
  </r>
  <r>
    <x v="1308"/>
    <x v="12"/>
    <x v="2"/>
    <n v="46.2"/>
    <n v="138.60000000000002"/>
    <x v="49"/>
    <x v="47"/>
    <x v="1"/>
    <x v="2"/>
    <x v="1"/>
    <x v="0"/>
    <x v="17"/>
    <n v="2"/>
    <x v="7"/>
    <x v="1"/>
  </r>
  <r>
    <x v="1309"/>
    <x v="7"/>
    <x v="8"/>
    <n v="78.599999999999994"/>
    <n v="628.79999999999995"/>
    <x v="49"/>
    <x v="55"/>
    <x v="1"/>
    <x v="3"/>
    <x v="0"/>
    <x v="0"/>
    <x v="17"/>
    <n v="4"/>
    <x v="7"/>
    <x v="1"/>
  </r>
  <r>
    <x v="1310"/>
    <x v="17"/>
    <x v="7"/>
    <n v="25.9"/>
    <n v="259"/>
    <x v="49"/>
    <x v="51"/>
    <x v="1"/>
    <x v="4"/>
    <x v="0"/>
    <x v="0"/>
    <x v="9"/>
    <n v="6"/>
    <x v="7"/>
    <x v="1"/>
  </r>
  <r>
    <x v="1311"/>
    <x v="6"/>
    <x v="0"/>
    <n v="134.80000000000001"/>
    <n v="134.80000000000001"/>
    <x v="49"/>
    <x v="47"/>
    <x v="1"/>
    <x v="2"/>
    <x v="2"/>
    <x v="0"/>
    <x v="9"/>
    <n v="2"/>
    <x v="7"/>
    <x v="1"/>
  </r>
  <r>
    <x v="1312"/>
    <x v="15"/>
    <x v="9"/>
    <n v="43.1"/>
    <n v="215.5"/>
    <x v="49"/>
    <x v="47"/>
    <x v="2"/>
    <x v="0"/>
    <x v="0"/>
    <x v="0"/>
    <x v="11"/>
    <n v="2"/>
    <x v="7"/>
    <x v="2"/>
  </r>
  <r>
    <x v="1313"/>
    <x v="2"/>
    <x v="1"/>
    <n v="215.6"/>
    <n v="431.2"/>
    <x v="49"/>
    <x v="49"/>
    <x v="2"/>
    <x v="2"/>
    <x v="0"/>
    <x v="0"/>
    <x v="18"/>
    <n v="1"/>
    <x v="7"/>
    <x v="2"/>
  </r>
  <r>
    <x v="1314"/>
    <x v="6"/>
    <x v="1"/>
    <n v="80.7"/>
    <n v="161.4"/>
    <x v="49"/>
    <x v="56"/>
    <x v="2"/>
    <x v="3"/>
    <x v="0"/>
    <x v="0"/>
    <x v="18"/>
    <n v="3"/>
    <x v="7"/>
    <x v="2"/>
  </r>
  <r>
    <x v="1315"/>
    <x v="10"/>
    <x v="3"/>
    <n v="20.6"/>
    <n v="144.20000000000002"/>
    <x v="49"/>
    <x v="54"/>
    <x v="0"/>
    <x v="2"/>
    <x v="1"/>
    <x v="0"/>
    <x v="19"/>
    <n v="5"/>
    <x v="7"/>
    <x v="0"/>
  </r>
  <r>
    <x v="1316"/>
    <x v="12"/>
    <x v="2"/>
    <n v="37.1"/>
    <n v="111.30000000000001"/>
    <x v="49"/>
    <x v="49"/>
    <x v="2"/>
    <x v="0"/>
    <x v="0"/>
    <x v="0"/>
    <x v="52"/>
    <n v="1"/>
    <x v="7"/>
    <x v="2"/>
  </r>
  <r>
    <x v="1317"/>
    <x v="12"/>
    <x v="0"/>
    <n v="104.8"/>
    <n v="104.8"/>
    <x v="50"/>
    <x v="56"/>
    <x v="2"/>
    <x v="0"/>
    <x v="0"/>
    <x v="0"/>
    <x v="13"/>
    <n v="2"/>
    <x v="7"/>
    <x v="2"/>
  </r>
  <r>
    <x v="1318"/>
    <x v="8"/>
    <x v="1"/>
    <n v="59"/>
    <n v="118"/>
    <x v="50"/>
    <x v="47"/>
    <x v="1"/>
    <x v="1"/>
    <x v="0"/>
    <x v="0"/>
    <x v="21"/>
    <n v="1"/>
    <x v="7"/>
    <x v="1"/>
  </r>
  <r>
    <x v="1319"/>
    <x v="8"/>
    <x v="1"/>
    <n v="32.299999999999997"/>
    <n v="64.599999999999994"/>
    <x v="50"/>
    <x v="47"/>
    <x v="1"/>
    <x v="0"/>
    <x v="2"/>
    <x v="0"/>
    <x v="21"/>
    <n v="1"/>
    <x v="7"/>
    <x v="1"/>
  </r>
  <r>
    <x v="1320"/>
    <x v="8"/>
    <x v="12"/>
    <n v="28.9"/>
    <n v="115.6"/>
    <x v="50"/>
    <x v="53"/>
    <x v="1"/>
    <x v="0"/>
    <x v="0"/>
    <x v="0"/>
    <x v="1"/>
    <n v="7"/>
    <x v="7"/>
    <x v="1"/>
  </r>
  <r>
    <x v="1321"/>
    <x v="0"/>
    <x v="1"/>
    <n v="29.6"/>
    <n v="59.2"/>
    <x v="50"/>
    <x v="56"/>
    <x v="1"/>
    <x v="0"/>
    <x v="0"/>
    <x v="0"/>
    <x v="1"/>
    <n v="2"/>
    <x v="7"/>
    <x v="1"/>
  </r>
  <r>
    <x v="1322"/>
    <x v="0"/>
    <x v="9"/>
    <n v="29.4"/>
    <n v="147"/>
    <x v="50"/>
    <x v="55"/>
    <x v="2"/>
    <x v="0"/>
    <x v="0"/>
    <x v="0"/>
    <x v="1"/>
    <n v="3"/>
    <x v="7"/>
    <x v="2"/>
  </r>
  <r>
    <x v="1323"/>
    <x v="1"/>
    <x v="1"/>
    <n v="40.6"/>
    <n v="81.2"/>
    <x v="50"/>
    <x v="47"/>
    <x v="1"/>
    <x v="0"/>
    <x v="4"/>
    <x v="0"/>
    <x v="2"/>
    <n v="1"/>
    <x v="7"/>
    <x v="1"/>
  </r>
  <r>
    <x v="1324"/>
    <x v="0"/>
    <x v="2"/>
    <n v="32.5"/>
    <n v="97.5"/>
    <x v="50"/>
    <x v="47"/>
    <x v="1"/>
    <x v="3"/>
    <x v="2"/>
    <x v="0"/>
    <x v="22"/>
    <n v="1"/>
    <x v="7"/>
    <x v="1"/>
  </r>
  <r>
    <x v="1325"/>
    <x v="15"/>
    <x v="0"/>
    <n v="26.2"/>
    <n v="26.2"/>
    <x v="50"/>
    <x v="56"/>
    <x v="1"/>
    <x v="2"/>
    <x v="0"/>
    <x v="0"/>
    <x v="55"/>
    <n v="2"/>
    <x v="7"/>
    <x v="1"/>
  </r>
  <r>
    <x v="1326"/>
    <x v="10"/>
    <x v="17"/>
    <n v="44"/>
    <n v="1320"/>
    <x v="50"/>
    <x v="52"/>
    <x v="1"/>
    <x v="4"/>
    <x v="0"/>
    <x v="0"/>
    <x v="3"/>
    <n v="6"/>
    <x v="7"/>
    <x v="1"/>
  </r>
  <r>
    <x v="1327"/>
    <x v="7"/>
    <x v="12"/>
    <n v="65.599999999999994"/>
    <n v="262.39999999999998"/>
    <x v="50"/>
    <x v="47"/>
    <x v="2"/>
    <x v="1"/>
    <x v="1"/>
    <x v="0"/>
    <x v="3"/>
    <n v="1"/>
    <x v="7"/>
    <x v="2"/>
  </r>
  <r>
    <x v="1328"/>
    <x v="5"/>
    <x v="4"/>
    <n v="32.6"/>
    <n v="391.20000000000005"/>
    <x v="50"/>
    <x v="47"/>
    <x v="1"/>
    <x v="4"/>
    <x v="0"/>
    <x v="0"/>
    <x v="3"/>
    <n v="1"/>
    <x v="7"/>
    <x v="1"/>
  </r>
  <r>
    <x v="1329"/>
    <x v="16"/>
    <x v="1"/>
    <n v="88.7"/>
    <n v="177.4"/>
    <x v="50"/>
    <x v="47"/>
    <x v="0"/>
    <x v="3"/>
    <x v="2"/>
    <x v="0"/>
    <x v="3"/>
    <n v="1"/>
    <x v="7"/>
    <x v="0"/>
  </r>
  <r>
    <x v="1330"/>
    <x v="4"/>
    <x v="1"/>
    <n v="21.3"/>
    <n v="42.6"/>
    <x v="50"/>
    <x v="47"/>
    <x v="1"/>
    <x v="0"/>
    <x v="0"/>
    <x v="0"/>
    <x v="3"/>
    <n v="1"/>
    <x v="7"/>
    <x v="1"/>
  </r>
  <r>
    <x v="1331"/>
    <x v="4"/>
    <x v="13"/>
    <n v="50.6"/>
    <n v="303.60000000000002"/>
    <x v="50"/>
    <x v="54"/>
    <x v="2"/>
    <x v="2"/>
    <x v="0"/>
    <x v="0"/>
    <x v="3"/>
    <n v="4"/>
    <x v="7"/>
    <x v="2"/>
  </r>
  <r>
    <x v="1332"/>
    <x v="9"/>
    <x v="38"/>
    <n v="86.9"/>
    <n v="1824.9"/>
    <x v="50"/>
    <x v="55"/>
    <x v="2"/>
    <x v="0"/>
    <x v="1"/>
    <x v="0"/>
    <x v="3"/>
    <n v="3"/>
    <x v="7"/>
    <x v="2"/>
  </r>
  <r>
    <x v="1333"/>
    <x v="11"/>
    <x v="2"/>
    <n v="31.8"/>
    <n v="95.4"/>
    <x v="50"/>
    <x v="56"/>
    <x v="1"/>
    <x v="0"/>
    <x v="2"/>
    <x v="0"/>
    <x v="3"/>
    <n v="2"/>
    <x v="7"/>
    <x v="1"/>
  </r>
  <r>
    <x v="1334"/>
    <x v="8"/>
    <x v="0"/>
    <n v="19"/>
    <n v="19"/>
    <x v="50"/>
    <x v="47"/>
    <x v="2"/>
    <x v="0"/>
    <x v="2"/>
    <x v="0"/>
    <x v="3"/>
    <n v="1"/>
    <x v="7"/>
    <x v="2"/>
  </r>
  <r>
    <x v="1335"/>
    <x v="5"/>
    <x v="0"/>
    <n v="54.5"/>
    <n v="54.5"/>
    <x v="50"/>
    <x v="56"/>
    <x v="1"/>
    <x v="0"/>
    <x v="0"/>
    <x v="0"/>
    <x v="3"/>
    <n v="2"/>
    <x v="7"/>
    <x v="1"/>
  </r>
  <r>
    <x v="1336"/>
    <x v="9"/>
    <x v="9"/>
    <n v="68.900000000000006"/>
    <n v="344.5"/>
    <x v="50"/>
    <x v="56"/>
    <x v="1"/>
    <x v="4"/>
    <x v="1"/>
    <x v="0"/>
    <x v="3"/>
    <n v="2"/>
    <x v="7"/>
    <x v="1"/>
  </r>
  <r>
    <x v="1337"/>
    <x v="6"/>
    <x v="2"/>
    <n v="84"/>
    <n v="252"/>
    <x v="50"/>
    <x v="47"/>
    <x v="1"/>
    <x v="1"/>
    <x v="4"/>
    <x v="0"/>
    <x v="16"/>
    <n v="1"/>
    <x v="7"/>
    <x v="1"/>
  </r>
  <r>
    <x v="1338"/>
    <x v="15"/>
    <x v="8"/>
    <n v="23.1"/>
    <n v="184.8"/>
    <x v="50"/>
    <x v="51"/>
    <x v="1"/>
    <x v="0"/>
    <x v="2"/>
    <x v="0"/>
    <x v="23"/>
    <n v="5"/>
    <x v="7"/>
    <x v="1"/>
  </r>
  <r>
    <x v="1339"/>
    <x v="7"/>
    <x v="1"/>
    <n v="62.4"/>
    <n v="124.8"/>
    <x v="50"/>
    <x v="47"/>
    <x v="2"/>
    <x v="0"/>
    <x v="1"/>
    <x v="0"/>
    <x v="6"/>
    <n v="1"/>
    <x v="7"/>
    <x v="2"/>
  </r>
  <r>
    <x v="1340"/>
    <x v="6"/>
    <x v="4"/>
    <n v="40.700000000000003"/>
    <n v="488.40000000000003"/>
    <x v="50"/>
    <x v="56"/>
    <x v="1"/>
    <x v="1"/>
    <x v="2"/>
    <x v="0"/>
    <x v="6"/>
    <n v="2"/>
    <x v="7"/>
    <x v="1"/>
  </r>
  <r>
    <x v="1341"/>
    <x v="6"/>
    <x v="0"/>
    <n v="49.6"/>
    <n v="49.6"/>
    <x v="50"/>
    <x v="55"/>
    <x v="1"/>
    <x v="2"/>
    <x v="0"/>
    <x v="0"/>
    <x v="7"/>
    <n v="3"/>
    <x v="7"/>
    <x v="1"/>
  </r>
  <r>
    <x v="1342"/>
    <x v="7"/>
    <x v="41"/>
    <n v="66.599999999999994"/>
    <n v="2996.9999999999995"/>
    <x v="50"/>
    <x v="55"/>
    <x v="1"/>
    <x v="2"/>
    <x v="0"/>
    <x v="0"/>
    <x v="8"/>
    <n v="3"/>
    <x v="7"/>
    <x v="1"/>
  </r>
  <r>
    <x v="1343"/>
    <x v="8"/>
    <x v="2"/>
    <n v="26.4"/>
    <n v="79.199999999999989"/>
    <x v="50"/>
    <x v="47"/>
    <x v="2"/>
    <x v="1"/>
    <x v="1"/>
    <x v="0"/>
    <x v="8"/>
    <n v="1"/>
    <x v="7"/>
    <x v="2"/>
  </r>
  <r>
    <x v="1344"/>
    <x v="0"/>
    <x v="1"/>
    <n v="17.2"/>
    <n v="34.4"/>
    <x v="50"/>
    <x v="55"/>
    <x v="1"/>
    <x v="2"/>
    <x v="1"/>
    <x v="0"/>
    <x v="8"/>
    <n v="3"/>
    <x v="7"/>
    <x v="1"/>
  </r>
  <r>
    <x v="1345"/>
    <x v="5"/>
    <x v="8"/>
    <n v="58.1"/>
    <n v="464.8"/>
    <x v="50"/>
    <x v="55"/>
    <x v="2"/>
    <x v="4"/>
    <x v="0"/>
    <x v="0"/>
    <x v="8"/>
    <n v="3"/>
    <x v="7"/>
    <x v="2"/>
  </r>
  <r>
    <x v="1346"/>
    <x v="15"/>
    <x v="12"/>
    <n v="31.5"/>
    <n v="126"/>
    <x v="50"/>
    <x v="55"/>
    <x v="2"/>
    <x v="4"/>
    <x v="4"/>
    <x v="0"/>
    <x v="8"/>
    <n v="3"/>
    <x v="7"/>
    <x v="2"/>
  </r>
  <r>
    <x v="1347"/>
    <x v="0"/>
    <x v="0"/>
    <n v="27.1"/>
    <n v="27.1"/>
    <x v="50"/>
    <x v="56"/>
    <x v="2"/>
    <x v="0"/>
    <x v="1"/>
    <x v="0"/>
    <x v="17"/>
    <n v="2"/>
    <x v="7"/>
    <x v="2"/>
  </r>
  <r>
    <x v="1348"/>
    <x v="18"/>
    <x v="12"/>
    <n v="28.5"/>
    <n v="114"/>
    <x v="50"/>
    <x v="56"/>
    <x v="1"/>
    <x v="1"/>
    <x v="2"/>
    <x v="0"/>
    <x v="9"/>
    <n v="2"/>
    <x v="7"/>
    <x v="1"/>
  </r>
  <r>
    <x v="1349"/>
    <x v="10"/>
    <x v="0"/>
    <n v="40.5"/>
    <n v="40.5"/>
    <x v="51"/>
    <x v="55"/>
    <x v="3"/>
    <x v="2"/>
    <x v="0"/>
    <x v="0"/>
    <x v="9"/>
    <n v="2"/>
    <x v="7"/>
    <x v="3"/>
  </r>
  <r>
    <x v="1350"/>
    <x v="2"/>
    <x v="2"/>
    <n v="77.900000000000006"/>
    <n v="233.70000000000002"/>
    <x v="51"/>
    <x v="51"/>
    <x v="2"/>
    <x v="1"/>
    <x v="2"/>
    <x v="0"/>
    <x v="19"/>
    <n v="4"/>
    <x v="7"/>
    <x v="2"/>
  </r>
  <r>
    <x v="1351"/>
    <x v="18"/>
    <x v="12"/>
    <n v="37.1"/>
    <n v="148.4"/>
    <x v="51"/>
    <x v="55"/>
    <x v="1"/>
    <x v="4"/>
    <x v="2"/>
    <x v="0"/>
    <x v="19"/>
    <n v="2"/>
    <x v="7"/>
    <x v="1"/>
  </r>
  <r>
    <x v="1352"/>
    <x v="16"/>
    <x v="2"/>
    <n v="51.6"/>
    <n v="154.80000000000001"/>
    <x v="51"/>
    <x v="59"/>
    <x v="2"/>
    <x v="0"/>
    <x v="4"/>
    <x v="0"/>
    <x v="19"/>
    <n v="8"/>
    <x v="7"/>
    <x v="2"/>
  </r>
  <r>
    <x v="1353"/>
    <x v="7"/>
    <x v="2"/>
    <n v="98"/>
    <n v="294"/>
    <x v="51"/>
    <x v="56"/>
    <x v="1"/>
    <x v="1"/>
    <x v="1"/>
    <x v="0"/>
    <x v="19"/>
    <n v="1"/>
    <x v="7"/>
    <x v="1"/>
  </r>
  <r>
    <x v="1354"/>
    <x v="6"/>
    <x v="3"/>
    <n v="41.4"/>
    <n v="289.8"/>
    <x v="51"/>
    <x v="56"/>
    <x v="1"/>
    <x v="1"/>
    <x v="0"/>
    <x v="0"/>
    <x v="20"/>
    <n v="1"/>
    <x v="7"/>
    <x v="1"/>
  </r>
  <r>
    <x v="1355"/>
    <x v="11"/>
    <x v="8"/>
    <n v="34"/>
    <n v="272"/>
    <x v="51"/>
    <x v="52"/>
    <x v="2"/>
    <x v="0"/>
    <x v="2"/>
    <x v="0"/>
    <x v="52"/>
    <n v="5"/>
    <x v="7"/>
    <x v="2"/>
  </r>
  <r>
    <x v="1356"/>
    <x v="6"/>
    <x v="0"/>
    <n v="66.3"/>
    <n v="66.3"/>
    <x v="51"/>
    <x v="56"/>
    <x v="2"/>
    <x v="1"/>
    <x v="0"/>
    <x v="0"/>
    <x v="13"/>
    <n v="1"/>
    <x v="7"/>
    <x v="2"/>
  </r>
  <r>
    <x v="1357"/>
    <x v="7"/>
    <x v="0"/>
    <n v="33.5"/>
    <n v="33.5"/>
    <x v="51"/>
    <x v="51"/>
    <x v="1"/>
    <x v="2"/>
    <x v="0"/>
    <x v="0"/>
    <x v="13"/>
    <n v="4"/>
    <x v="7"/>
    <x v="1"/>
  </r>
  <r>
    <x v="1358"/>
    <x v="12"/>
    <x v="1"/>
    <n v="70.8"/>
    <n v="141.6"/>
    <x v="51"/>
    <x v="56"/>
    <x v="0"/>
    <x v="0"/>
    <x v="0"/>
    <x v="0"/>
    <x v="28"/>
    <n v="1"/>
    <x v="7"/>
    <x v="0"/>
  </r>
  <r>
    <x v="1359"/>
    <x v="6"/>
    <x v="1"/>
    <n v="127.6"/>
    <n v="255.2"/>
    <x v="51"/>
    <x v="56"/>
    <x v="1"/>
    <x v="0"/>
    <x v="0"/>
    <x v="0"/>
    <x v="21"/>
    <n v="1"/>
    <x v="7"/>
    <x v="1"/>
  </r>
  <r>
    <x v="1360"/>
    <x v="6"/>
    <x v="2"/>
    <n v="95.9"/>
    <n v="287.70000000000005"/>
    <x v="51"/>
    <x v="56"/>
    <x v="2"/>
    <x v="1"/>
    <x v="1"/>
    <x v="0"/>
    <x v="21"/>
    <n v="1"/>
    <x v="7"/>
    <x v="2"/>
  </r>
  <r>
    <x v="1361"/>
    <x v="2"/>
    <x v="1"/>
    <n v="78.099999999999994"/>
    <n v="156.19999999999999"/>
    <x v="51"/>
    <x v="56"/>
    <x v="1"/>
    <x v="0"/>
    <x v="0"/>
    <x v="0"/>
    <x v="1"/>
    <n v="1"/>
    <x v="7"/>
    <x v="1"/>
  </r>
  <r>
    <x v="1362"/>
    <x v="13"/>
    <x v="1"/>
    <n v="43.2"/>
    <n v="86.4"/>
    <x v="51"/>
    <x v="56"/>
    <x v="0"/>
    <x v="1"/>
    <x v="1"/>
    <x v="0"/>
    <x v="1"/>
    <n v="1"/>
    <x v="7"/>
    <x v="0"/>
  </r>
  <r>
    <x v="1363"/>
    <x v="8"/>
    <x v="12"/>
    <n v="28.4"/>
    <n v="113.6"/>
    <x v="51"/>
    <x v="53"/>
    <x v="1"/>
    <x v="2"/>
    <x v="0"/>
    <x v="0"/>
    <x v="3"/>
    <n v="6"/>
    <x v="7"/>
    <x v="1"/>
  </r>
  <r>
    <x v="1364"/>
    <x v="2"/>
    <x v="1"/>
    <n v="81.7"/>
    <n v="163.4"/>
    <x v="51"/>
    <x v="47"/>
    <x v="1"/>
    <x v="0"/>
    <x v="0"/>
    <x v="0"/>
    <x v="3"/>
    <n v="0"/>
    <x v="7"/>
    <x v="1"/>
  </r>
  <r>
    <x v="1365"/>
    <x v="18"/>
    <x v="1"/>
    <n v="56.7"/>
    <n v="113.4"/>
    <x v="51"/>
    <x v="55"/>
    <x v="0"/>
    <x v="0"/>
    <x v="2"/>
    <x v="0"/>
    <x v="3"/>
    <n v="2"/>
    <x v="7"/>
    <x v="0"/>
  </r>
  <r>
    <x v="1366"/>
    <x v="3"/>
    <x v="12"/>
    <n v="66.5"/>
    <n v="266"/>
    <x v="51"/>
    <x v="47"/>
    <x v="2"/>
    <x v="0"/>
    <x v="2"/>
    <x v="0"/>
    <x v="3"/>
    <n v="0"/>
    <x v="7"/>
    <x v="2"/>
  </r>
  <r>
    <x v="1367"/>
    <x v="1"/>
    <x v="1"/>
    <n v="105.3"/>
    <n v="210.6"/>
    <x v="51"/>
    <x v="51"/>
    <x v="1"/>
    <x v="0"/>
    <x v="1"/>
    <x v="0"/>
    <x v="3"/>
    <n v="4"/>
    <x v="7"/>
    <x v="1"/>
  </r>
  <r>
    <x v="1368"/>
    <x v="10"/>
    <x v="9"/>
    <n v="33.799999999999997"/>
    <n v="169"/>
    <x v="51"/>
    <x v="52"/>
    <x v="1"/>
    <x v="0"/>
    <x v="0"/>
    <x v="0"/>
    <x v="3"/>
    <n v="5"/>
    <x v="7"/>
    <x v="1"/>
  </r>
  <r>
    <x v="1369"/>
    <x v="6"/>
    <x v="2"/>
    <n v="63.4"/>
    <n v="190.2"/>
    <x v="51"/>
    <x v="52"/>
    <x v="1"/>
    <x v="3"/>
    <x v="1"/>
    <x v="0"/>
    <x v="24"/>
    <n v="5"/>
    <x v="7"/>
    <x v="1"/>
  </r>
  <r>
    <x v="1370"/>
    <x v="6"/>
    <x v="2"/>
    <n v="49"/>
    <n v="147"/>
    <x v="51"/>
    <x v="51"/>
    <x v="1"/>
    <x v="3"/>
    <x v="0"/>
    <x v="0"/>
    <x v="49"/>
    <n v="4"/>
    <x v="7"/>
    <x v="1"/>
  </r>
  <r>
    <x v="1371"/>
    <x v="1"/>
    <x v="1"/>
    <n v="40"/>
    <n v="80"/>
    <x v="51"/>
    <x v="56"/>
    <x v="2"/>
    <x v="4"/>
    <x v="1"/>
    <x v="0"/>
    <x v="23"/>
    <n v="1"/>
    <x v="7"/>
    <x v="2"/>
  </r>
  <r>
    <x v="1372"/>
    <x v="6"/>
    <x v="12"/>
    <n v="86.3"/>
    <n v="345.2"/>
    <x v="51"/>
    <x v="56"/>
    <x v="3"/>
    <x v="0"/>
    <x v="0"/>
    <x v="0"/>
    <x v="6"/>
    <n v="1"/>
    <x v="7"/>
    <x v="3"/>
  </r>
  <r>
    <x v="1373"/>
    <x v="6"/>
    <x v="0"/>
    <n v="51.6"/>
    <n v="51.6"/>
    <x v="51"/>
    <x v="55"/>
    <x v="2"/>
    <x v="2"/>
    <x v="2"/>
    <x v="0"/>
    <x v="6"/>
    <n v="2"/>
    <x v="7"/>
    <x v="2"/>
  </r>
  <r>
    <x v="1374"/>
    <x v="10"/>
    <x v="2"/>
    <n v="26.7"/>
    <n v="80.099999999999994"/>
    <x v="51"/>
    <x v="52"/>
    <x v="2"/>
    <x v="2"/>
    <x v="1"/>
    <x v="0"/>
    <x v="6"/>
    <n v="5"/>
    <x v="7"/>
    <x v="2"/>
  </r>
  <r>
    <x v="1375"/>
    <x v="18"/>
    <x v="1"/>
    <n v="68.099999999999994"/>
    <n v="136.19999999999999"/>
    <x v="51"/>
    <x v="56"/>
    <x v="1"/>
    <x v="0"/>
    <x v="1"/>
    <x v="0"/>
    <x v="6"/>
    <n v="1"/>
    <x v="7"/>
    <x v="1"/>
  </r>
  <r>
    <x v="1376"/>
    <x v="1"/>
    <x v="0"/>
    <n v="81.7"/>
    <n v="81.7"/>
    <x v="51"/>
    <x v="56"/>
    <x v="1"/>
    <x v="0"/>
    <x v="0"/>
    <x v="0"/>
    <x v="7"/>
    <n v="1"/>
    <x v="7"/>
    <x v="1"/>
  </r>
  <r>
    <x v="1377"/>
    <x v="18"/>
    <x v="7"/>
    <n v="25.1"/>
    <n v="251"/>
    <x v="51"/>
    <x v="54"/>
    <x v="1"/>
    <x v="3"/>
    <x v="1"/>
    <x v="0"/>
    <x v="8"/>
    <n v="3"/>
    <x v="7"/>
    <x v="1"/>
  </r>
  <r>
    <x v="1378"/>
    <x v="8"/>
    <x v="0"/>
    <n v="20.2"/>
    <n v="20.2"/>
    <x v="51"/>
    <x v="51"/>
    <x v="2"/>
    <x v="0"/>
    <x v="0"/>
    <x v="0"/>
    <x v="8"/>
    <n v="4"/>
    <x v="7"/>
    <x v="2"/>
  </r>
  <r>
    <x v="1379"/>
    <x v="8"/>
    <x v="2"/>
    <n v="15.4"/>
    <n v="46.2"/>
    <x v="51"/>
    <x v="56"/>
    <x v="1"/>
    <x v="1"/>
    <x v="2"/>
    <x v="0"/>
    <x v="8"/>
    <n v="1"/>
    <x v="7"/>
    <x v="1"/>
  </r>
  <r>
    <x v="1380"/>
    <x v="10"/>
    <x v="0"/>
    <n v="59.2"/>
    <n v="59.2"/>
    <x v="51"/>
    <x v="56"/>
    <x v="1"/>
    <x v="2"/>
    <x v="2"/>
    <x v="0"/>
    <x v="17"/>
    <n v="1"/>
    <x v="7"/>
    <x v="1"/>
  </r>
  <r>
    <x v="1381"/>
    <x v="0"/>
    <x v="0"/>
    <n v="46.7"/>
    <n v="46.7"/>
    <x v="51"/>
    <x v="52"/>
    <x v="1"/>
    <x v="0"/>
    <x v="0"/>
    <x v="0"/>
    <x v="17"/>
    <n v="5"/>
    <x v="7"/>
    <x v="1"/>
  </r>
  <r>
    <x v="1382"/>
    <x v="6"/>
    <x v="20"/>
    <n v="41.6"/>
    <n v="624"/>
    <x v="51"/>
    <x v="55"/>
    <x v="1"/>
    <x v="1"/>
    <x v="0"/>
    <x v="0"/>
    <x v="26"/>
    <n v="2"/>
    <x v="7"/>
    <x v="1"/>
  </r>
  <r>
    <x v="1383"/>
    <x v="8"/>
    <x v="1"/>
    <n v="19.2"/>
    <n v="38.4"/>
    <x v="51"/>
    <x v="54"/>
    <x v="1"/>
    <x v="4"/>
    <x v="2"/>
    <x v="0"/>
    <x v="9"/>
    <n v="3"/>
    <x v="7"/>
    <x v="1"/>
  </r>
  <r>
    <x v="1384"/>
    <x v="17"/>
    <x v="3"/>
    <n v="41.8"/>
    <n v="292.59999999999997"/>
    <x v="51"/>
    <x v="55"/>
    <x v="2"/>
    <x v="2"/>
    <x v="0"/>
    <x v="0"/>
    <x v="11"/>
    <n v="2"/>
    <x v="7"/>
    <x v="2"/>
  </r>
  <r>
    <x v="1385"/>
    <x v="8"/>
    <x v="13"/>
    <n v="37.4"/>
    <n v="224.39999999999998"/>
    <x v="51"/>
    <x v="55"/>
    <x v="1"/>
    <x v="0"/>
    <x v="2"/>
    <x v="0"/>
    <x v="11"/>
    <n v="2"/>
    <x v="7"/>
    <x v="1"/>
  </r>
  <r>
    <x v="1386"/>
    <x v="10"/>
    <x v="2"/>
    <n v="60.2"/>
    <n v="180.60000000000002"/>
    <x v="51"/>
    <x v="54"/>
    <x v="1"/>
    <x v="4"/>
    <x v="1"/>
    <x v="0"/>
    <x v="38"/>
    <n v="3"/>
    <x v="7"/>
    <x v="1"/>
  </r>
  <r>
    <x v="1387"/>
    <x v="9"/>
    <x v="1"/>
    <n v="91.5"/>
    <n v="183"/>
    <x v="52"/>
    <x v="55"/>
    <x v="1"/>
    <x v="0"/>
    <x v="0"/>
    <x v="0"/>
    <x v="13"/>
    <n v="1"/>
    <x v="7"/>
    <x v="1"/>
  </r>
  <r>
    <x v="1388"/>
    <x v="3"/>
    <x v="9"/>
    <n v="55.7"/>
    <n v="278.5"/>
    <x v="52"/>
    <x v="54"/>
    <x v="0"/>
    <x v="1"/>
    <x v="2"/>
    <x v="0"/>
    <x v="21"/>
    <n v="2"/>
    <x v="7"/>
    <x v="0"/>
  </r>
  <r>
    <x v="1389"/>
    <x v="7"/>
    <x v="1"/>
    <n v="76.7"/>
    <n v="153.4"/>
    <x v="52"/>
    <x v="54"/>
    <x v="1"/>
    <x v="0"/>
    <x v="1"/>
    <x v="0"/>
    <x v="21"/>
    <n v="2"/>
    <x v="7"/>
    <x v="1"/>
  </r>
  <r>
    <x v="1390"/>
    <x v="8"/>
    <x v="38"/>
    <n v="28.2"/>
    <n v="592.19999999999993"/>
    <x v="52"/>
    <x v="53"/>
    <x v="1"/>
    <x v="2"/>
    <x v="0"/>
    <x v="0"/>
    <x v="1"/>
    <n v="5"/>
    <x v="7"/>
    <x v="1"/>
  </r>
  <r>
    <x v="1391"/>
    <x v="7"/>
    <x v="9"/>
    <n v="93.2"/>
    <n v="466"/>
    <x v="52"/>
    <x v="54"/>
    <x v="2"/>
    <x v="4"/>
    <x v="2"/>
    <x v="0"/>
    <x v="1"/>
    <n v="2"/>
    <x v="7"/>
    <x v="2"/>
  </r>
  <r>
    <x v="1392"/>
    <x v="17"/>
    <x v="0"/>
    <n v="33.299999999999997"/>
    <n v="33.299999999999997"/>
    <x v="52"/>
    <x v="55"/>
    <x v="1"/>
    <x v="4"/>
    <x v="0"/>
    <x v="0"/>
    <x v="2"/>
    <n v="1"/>
    <x v="7"/>
    <x v="1"/>
  </r>
  <r>
    <x v="1393"/>
    <x v="10"/>
    <x v="1"/>
    <n v="39.1"/>
    <n v="78.2"/>
    <x v="52"/>
    <x v="51"/>
    <x v="1"/>
    <x v="0"/>
    <x v="0"/>
    <x v="0"/>
    <x v="44"/>
    <n v="3"/>
    <x v="7"/>
    <x v="1"/>
  </r>
  <r>
    <x v="1394"/>
    <x v="7"/>
    <x v="4"/>
    <n v="45.3"/>
    <n v="543.59999999999991"/>
    <x v="52"/>
    <x v="55"/>
    <x v="1"/>
    <x v="2"/>
    <x v="0"/>
    <x v="0"/>
    <x v="33"/>
    <n v="1"/>
    <x v="7"/>
    <x v="1"/>
  </r>
  <r>
    <x v="1395"/>
    <x v="9"/>
    <x v="3"/>
    <n v="33.9"/>
    <n v="237.29999999999998"/>
    <x v="52"/>
    <x v="55"/>
    <x v="1"/>
    <x v="4"/>
    <x v="0"/>
    <x v="0"/>
    <x v="33"/>
    <n v="1"/>
    <x v="7"/>
    <x v="1"/>
  </r>
  <r>
    <x v="1396"/>
    <x v="8"/>
    <x v="2"/>
    <n v="19"/>
    <n v="57"/>
    <x v="52"/>
    <x v="55"/>
    <x v="1"/>
    <x v="0"/>
    <x v="2"/>
    <x v="0"/>
    <x v="15"/>
    <n v="1"/>
    <x v="7"/>
    <x v="1"/>
  </r>
  <r>
    <x v="1397"/>
    <x v="4"/>
    <x v="0"/>
    <n v="41.9"/>
    <n v="41.9"/>
    <x v="52"/>
    <x v="51"/>
    <x v="2"/>
    <x v="2"/>
    <x v="0"/>
    <x v="0"/>
    <x v="22"/>
    <n v="3"/>
    <x v="7"/>
    <x v="2"/>
  </r>
  <r>
    <x v="1398"/>
    <x v="1"/>
    <x v="12"/>
    <n v="37.5"/>
    <n v="150"/>
    <x v="52"/>
    <x v="56"/>
    <x v="2"/>
    <x v="0"/>
    <x v="0"/>
    <x v="0"/>
    <x v="3"/>
    <n v="0"/>
    <x v="7"/>
    <x v="2"/>
  </r>
  <r>
    <x v="1399"/>
    <x v="0"/>
    <x v="1"/>
    <n v="40.799999999999997"/>
    <n v="81.599999999999994"/>
    <x v="52"/>
    <x v="51"/>
    <x v="1"/>
    <x v="0"/>
    <x v="0"/>
    <x v="0"/>
    <x v="3"/>
    <n v="3"/>
    <x v="7"/>
    <x v="1"/>
  </r>
  <r>
    <x v="1400"/>
    <x v="0"/>
    <x v="12"/>
    <n v="23.1"/>
    <n v="92.4"/>
    <x v="52"/>
    <x v="55"/>
    <x v="2"/>
    <x v="4"/>
    <x v="0"/>
    <x v="0"/>
    <x v="3"/>
    <n v="1"/>
    <x v="7"/>
    <x v="2"/>
  </r>
  <r>
    <x v="1401"/>
    <x v="8"/>
    <x v="9"/>
    <n v="39.299999999999997"/>
    <n v="196.5"/>
    <x v="52"/>
    <x v="55"/>
    <x v="2"/>
    <x v="0"/>
    <x v="0"/>
    <x v="0"/>
    <x v="3"/>
    <n v="1"/>
    <x v="7"/>
    <x v="2"/>
  </r>
  <r>
    <x v="1402"/>
    <x v="2"/>
    <x v="12"/>
    <n v="85.2"/>
    <n v="340.8"/>
    <x v="52"/>
    <x v="53"/>
    <x v="1"/>
    <x v="2"/>
    <x v="0"/>
    <x v="0"/>
    <x v="3"/>
    <n v="5"/>
    <x v="7"/>
    <x v="1"/>
  </r>
  <r>
    <x v="1403"/>
    <x v="8"/>
    <x v="13"/>
    <n v="16"/>
    <n v="96"/>
    <x v="52"/>
    <x v="51"/>
    <x v="1"/>
    <x v="1"/>
    <x v="0"/>
    <x v="0"/>
    <x v="3"/>
    <n v="3"/>
    <x v="7"/>
    <x v="1"/>
  </r>
  <r>
    <x v="1404"/>
    <x v="1"/>
    <x v="1"/>
    <n v="33.799999999999997"/>
    <n v="67.599999999999994"/>
    <x v="52"/>
    <x v="52"/>
    <x v="2"/>
    <x v="1"/>
    <x v="0"/>
    <x v="0"/>
    <x v="3"/>
    <n v="4"/>
    <x v="7"/>
    <x v="2"/>
  </r>
  <r>
    <x v="1405"/>
    <x v="3"/>
    <x v="0"/>
    <n v="70"/>
    <n v="70"/>
    <x v="52"/>
    <x v="55"/>
    <x v="2"/>
    <x v="0"/>
    <x v="0"/>
    <x v="0"/>
    <x v="3"/>
    <n v="1"/>
    <x v="7"/>
    <x v="2"/>
  </r>
  <r>
    <x v="1406"/>
    <x v="9"/>
    <x v="0"/>
    <n v="88"/>
    <n v="88"/>
    <x v="52"/>
    <x v="53"/>
    <x v="2"/>
    <x v="3"/>
    <x v="0"/>
    <x v="0"/>
    <x v="3"/>
    <n v="5"/>
    <x v="7"/>
    <x v="2"/>
  </r>
  <r>
    <x v="1407"/>
    <x v="2"/>
    <x v="2"/>
    <n v="74.099999999999994"/>
    <n v="222.29999999999998"/>
    <x v="52"/>
    <x v="56"/>
    <x v="1"/>
    <x v="4"/>
    <x v="1"/>
    <x v="0"/>
    <x v="3"/>
    <n v="0"/>
    <x v="7"/>
    <x v="1"/>
  </r>
  <r>
    <x v="1408"/>
    <x v="2"/>
    <x v="0"/>
    <n v="161.9"/>
    <n v="161.9"/>
    <x v="52"/>
    <x v="54"/>
    <x v="1"/>
    <x v="2"/>
    <x v="0"/>
    <x v="0"/>
    <x v="3"/>
    <n v="2"/>
    <x v="7"/>
    <x v="1"/>
  </r>
  <r>
    <x v="1409"/>
    <x v="4"/>
    <x v="1"/>
    <n v="44"/>
    <n v="88"/>
    <x v="52"/>
    <x v="55"/>
    <x v="3"/>
    <x v="4"/>
    <x v="1"/>
    <x v="0"/>
    <x v="3"/>
    <n v="1"/>
    <x v="7"/>
    <x v="3"/>
  </r>
  <r>
    <x v="1410"/>
    <x v="11"/>
    <x v="0"/>
    <n v="32.1"/>
    <n v="32.1"/>
    <x v="52"/>
    <x v="56"/>
    <x v="2"/>
    <x v="3"/>
    <x v="3"/>
    <x v="0"/>
    <x v="3"/>
    <n v="0"/>
    <x v="7"/>
    <x v="2"/>
  </r>
  <r>
    <x v="1411"/>
    <x v="2"/>
    <x v="12"/>
    <n v="104.8"/>
    <n v="419.2"/>
    <x v="53"/>
    <x v="51"/>
    <x v="3"/>
    <x v="0"/>
    <x v="0"/>
    <x v="0"/>
    <x v="3"/>
    <n v="2"/>
    <x v="8"/>
    <x v="3"/>
  </r>
  <r>
    <x v="1412"/>
    <x v="9"/>
    <x v="13"/>
    <n v="67.400000000000006"/>
    <n v="404.40000000000003"/>
    <x v="53"/>
    <x v="54"/>
    <x v="2"/>
    <x v="3"/>
    <x v="0"/>
    <x v="0"/>
    <x v="3"/>
    <n v="1"/>
    <x v="8"/>
    <x v="2"/>
  </r>
  <r>
    <x v="1413"/>
    <x v="6"/>
    <x v="1"/>
    <n v="115.2"/>
    <n v="230.4"/>
    <x v="53"/>
    <x v="54"/>
    <x v="2"/>
    <x v="1"/>
    <x v="0"/>
    <x v="0"/>
    <x v="4"/>
    <n v="1"/>
    <x v="8"/>
    <x v="2"/>
  </r>
  <r>
    <x v="1414"/>
    <x v="8"/>
    <x v="19"/>
    <n v="15.5"/>
    <n v="449.5"/>
    <x v="53"/>
    <x v="51"/>
    <x v="2"/>
    <x v="0"/>
    <x v="1"/>
    <x v="0"/>
    <x v="23"/>
    <n v="2"/>
    <x v="8"/>
    <x v="2"/>
  </r>
  <r>
    <x v="1415"/>
    <x v="6"/>
    <x v="5"/>
    <n v="66.400000000000006"/>
    <n v="730.40000000000009"/>
    <x v="53"/>
    <x v="51"/>
    <x v="2"/>
    <x v="0"/>
    <x v="0"/>
    <x v="0"/>
    <x v="6"/>
    <n v="2"/>
    <x v="8"/>
    <x v="2"/>
  </r>
  <r>
    <x v="1416"/>
    <x v="9"/>
    <x v="4"/>
    <n v="68.099999999999994"/>
    <n v="817.19999999999993"/>
    <x v="53"/>
    <x v="54"/>
    <x v="2"/>
    <x v="2"/>
    <x v="0"/>
    <x v="0"/>
    <x v="8"/>
    <n v="1"/>
    <x v="8"/>
    <x v="2"/>
  </r>
  <r>
    <x v="1417"/>
    <x v="8"/>
    <x v="9"/>
    <n v="32.5"/>
    <n v="162.5"/>
    <x v="53"/>
    <x v="53"/>
    <x v="1"/>
    <x v="2"/>
    <x v="1"/>
    <x v="0"/>
    <x v="8"/>
    <n v="4"/>
    <x v="8"/>
    <x v="1"/>
  </r>
  <r>
    <x v="1418"/>
    <x v="15"/>
    <x v="2"/>
    <n v="61.2"/>
    <n v="183.60000000000002"/>
    <x v="53"/>
    <x v="51"/>
    <x v="2"/>
    <x v="1"/>
    <x v="1"/>
    <x v="0"/>
    <x v="8"/>
    <n v="2"/>
    <x v="8"/>
    <x v="2"/>
  </r>
  <r>
    <x v="1419"/>
    <x v="9"/>
    <x v="1"/>
    <n v="54.2"/>
    <n v="108.4"/>
    <x v="53"/>
    <x v="54"/>
    <x v="2"/>
    <x v="1"/>
    <x v="0"/>
    <x v="0"/>
    <x v="8"/>
    <n v="1"/>
    <x v="8"/>
    <x v="2"/>
  </r>
  <r>
    <x v="1420"/>
    <x v="11"/>
    <x v="8"/>
    <n v="28.7"/>
    <n v="229.6"/>
    <x v="53"/>
    <x v="51"/>
    <x v="1"/>
    <x v="1"/>
    <x v="0"/>
    <x v="0"/>
    <x v="9"/>
    <n v="2"/>
    <x v="8"/>
    <x v="1"/>
  </r>
  <r>
    <x v="1421"/>
    <x v="12"/>
    <x v="13"/>
    <n v="38.200000000000003"/>
    <n v="229.20000000000002"/>
    <x v="53"/>
    <x v="53"/>
    <x v="2"/>
    <x v="0"/>
    <x v="1"/>
    <x v="0"/>
    <x v="9"/>
    <n v="4"/>
    <x v="8"/>
    <x v="2"/>
  </r>
  <r>
    <x v="1422"/>
    <x v="8"/>
    <x v="4"/>
    <n v="17.600000000000001"/>
    <n v="211.20000000000002"/>
    <x v="53"/>
    <x v="54"/>
    <x v="2"/>
    <x v="2"/>
    <x v="1"/>
    <x v="0"/>
    <x v="9"/>
    <n v="1"/>
    <x v="8"/>
    <x v="2"/>
  </r>
  <r>
    <x v="1423"/>
    <x v="10"/>
    <x v="2"/>
    <n v="74.599999999999994"/>
    <n v="223.79999999999998"/>
    <x v="53"/>
    <x v="55"/>
    <x v="2"/>
    <x v="2"/>
    <x v="0"/>
    <x v="0"/>
    <x v="11"/>
    <n v="0"/>
    <x v="8"/>
    <x v="2"/>
  </r>
  <r>
    <x v="1424"/>
    <x v="16"/>
    <x v="20"/>
    <n v="72.599999999999994"/>
    <n v="1089"/>
    <x v="53"/>
    <x v="55"/>
    <x v="0"/>
    <x v="1"/>
    <x v="1"/>
    <x v="0"/>
    <x v="11"/>
    <n v="0"/>
    <x v="8"/>
    <x v="0"/>
  </r>
  <r>
    <x v="1425"/>
    <x v="7"/>
    <x v="0"/>
    <n v="62.3"/>
    <n v="62.3"/>
    <x v="53"/>
    <x v="54"/>
    <x v="2"/>
    <x v="1"/>
    <x v="0"/>
    <x v="0"/>
    <x v="11"/>
    <n v="1"/>
    <x v="8"/>
    <x v="2"/>
  </r>
  <r>
    <x v="1426"/>
    <x v="3"/>
    <x v="2"/>
    <n v="33.799999999999997"/>
    <n v="101.39999999999999"/>
    <x v="53"/>
    <x v="51"/>
    <x v="1"/>
    <x v="0"/>
    <x v="2"/>
    <x v="0"/>
    <x v="20"/>
    <n v="2"/>
    <x v="8"/>
    <x v="1"/>
  </r>
  <r>
    <x v="1427"/>
    <x v="9"/>
    <x v="0"/>
    <n v="85.7"/>
    <n v="85.7"/>
    <x v="53"/>
    <x v="52"/>
    <x v="1"/>
    <x v="3"/>
    <x v="1"/>
    <x v="0"/>
    <x v="21"/>
    <n v="3"/>
    <x v="8"/>
    <x v="1"/>
  </r>
  <r>
    <x v="1428"/>
    <x v="6"/>
    <x v="1"/>
    <n v="92.1"/>
    <n v="184.2"/>
    <x v="53"/>
    <x v="51"/>
    <x v="1"/>
    <x v="1"/>
    <x v="0"/>
    <x v="0"/>
    <x v="21"/>
    <n v="2"/>
    <x v="8"/>
    <x v="1"/>
  </r>
  <r>
    <x v="1429"/>
    <x v="16"/>
    <x v="2"/>
    <n v="65.099999999999994"/>
    <n v="195.29999999999998"/>
    <x v="53"/>
    <x v="52"/>
    <x v="1"/>
    <x v="0"/>
    <x v="0"/>
    <x v="0"/>
    <x v="1"/>
    <n v="3"/>
    <x v="8"/>
    <x v="1"/>
  </r>
  <r>
    <x v="1430"/>
    <x v="9"/>
    <x v="3"/>
    <n v="20.3"/>
    <n v="142.1"/>
    <x v="53"/>
    <x v="54"/>
    <x v="2"/>
    <x v="2"/>
    <x v="2"/>
    <x v="0"/>
    <x v="2"/>
    <n v="1"/>
    <x v="8"/>
    <x v="2"/>
  </r>
  <r>
    <x v="1431"/>
    <x v="19"/>
    <x v="1"/>
    <n v="29.8"/>
    <n v="59.6"/>
    <x v="53"/>
    <x v="51"/>
    <x v="2"/>
    <x v="1"/>
    <x v="2"/>
    <x v="0"/>
    <x v="34"/>
    <n v="2"/>
    <x v="8"/>
    <x v="2"/>
  </r>
  <r>
    <x v="1432"/>
    <x v="0"/>
    <x v="1"/>
    <n v="24.2"/>
    <n v="48.4"/>
    <x v="53"/>
    <x v="51"/>
    <x v="2"/>
    <x v="3"/>
    <x v="2"/>
    <x v="0"/>
    <x v="3"/>
    <n v="2"/>
    <x v="8"/>
    <x v="2"/>
  </r>
  <r>
    <x v="1433"/>
    <x v="3"/>
    <x v="0"/>
    <n v="57.3"/>
    <n v="57.3"/>
    <x v="53"/>
    <x v="51"/>
    <x v="1"/>
    <x v="0"/>
    <x v="0"/>
    <x v="0"/>
    <x v="3"/>
    <n v="2"/>
    <x v="8"/>
    <x v="1"/>
  </r>
  <r>
    <x v="1434"/>
    <x v="2"/>
    <x v="0"/>
    <n v="108.9"/>
    <n v="108.9"/>
    <x v="53"/>
    <x v="51"/>
    <x v="2"/>
    <x v="1"/>
    <x v="0"/>
    <x v="0"/>
    <x v="3"/>
    <n v="2"/>
    <x v="8"/>
    <x v="2"/>
  </r>
  <r>
    <x v="1435"/>
    <x v="7"/>
    <x v="9"/>
    <n v="50.7"/>
    <n v="253.5"/>
    <x v="53"/>
    <x v="54"/>
    <x v="2"/>
    <x v="0"/>
    <x v="0"/>
    <x v="0"/>
    <x v="3"/>
    <n v="1"/>
    <x v="8"/>
    <x v="2"/>
  </r>
  <r>
    <x v="1436"/>
    <x v="7"/>
    <x v="11"/>
    <n v="66.099999999999994"/>
    <n v="594.9"/>
    <x v="53"/>
    <x v="60"/>
    <x v="2"/>
    <x v="1"/>
    <x v="0"/>
    <x v="0"/>
    <x v="3"/>
    <n v="14"/>
    <x v="8"/>
    <x v="2"/>
  </r>
  <r>
    <x v="1437"/>
    <x v="12"/>
    <x v="9"/>
    <n v="36.700000000000003"/>
    <n v="183.5"/>
    <x v="53"/>
    <x v="53"/>
    <x v="2"/>
    <x v="4"/>
    <x v="0"/>
    <x v="0"/>
    <x v="3"/>
    <n v="4"/>
    <x v="8"/>
    <x v="2"/>
  </r>
  <r>
    <x v="1438"/>
    <x v="8"/>
    <x v="14"/>
    <n v="19.3"/>
    <n v="328.1"/>
    <x v="53"/>
    <x v="51"/>
    <x v="1"/>
    <x v="0"/>
    <x v="0"/>
    <x v="0"/>
    <x v="43"/>
    <n v="2"/>
    <x v="8"/>
    <x v="1"/>
  </r>
  <r>
    <x v="1439"/>
    <x v="8"/>
    <x v="12"/>
    <n v="20.7"/>
    <n v="82.8"/>
    <x v="53"/>
    <x v="54"/>
    <x v="1"/>
    <x v="1"/>
    <x v="2"/>
    <x v="0"/>
    <x v="6"/>
    <n v="1"/>
    <x v="8"/>
    <x v="1"/>
  </r>
  <r>
    <x v="1440"/>
    <x v="5"/>
    <x v="2"/>
    <n v="54.7"/>
    <n v="164.10000000000002"/>
    <x v="53"/>
    <x v="55"/>
    <x v="3"/>
    <x v="1"/>
    <x v="4"/>
    <x v="0"/>
    <x v="6"/>
    <n v="0"/>
    <x v="8"/>
    <x v="3"/>
  </r>
  <r>
    <x v="1441"/>
    <x v="4"/>
    <x v="1"/>
    <n v="19.8"/>
    <n v="39.6"/>
    <x v="53"/>
    <x v="53"/>
    <x v="2"/>
    <x v="4"/>
    <x v="1"/>
    <x v="0"/>
    <x v="8"/>
    <n v="4"/>
    <x v="8"/>
    <x v="2"/>
  </r>
  <r>
    <x v="1442"/>
    <x v="7"/>
    <x v="0"/>
    <n v="41.1"/>
    <n v="41.1"/>
    <x v="53"/>
    <x v="51"/>
    <x v="2"/>
    <x v="0"/>
    <x v="2"/>
    <x v="0"/>
    <x v="8"/>
    <n v="2"/>
    <x v="8"/>
    <x v="2"/>
  </r>
  <r>
    <x v="1443"/>
    <x v="11"/>
    <x v="8"/>
    <n v="43.5"/>
    <n v="348"/>
    <x v="53"/>
    <x v="53"/>
    <x v="2"/>
    <x v="3"/>
    <x v="0"/>
    <x v="0"/>
    <x v="8"/>
    <n v="4"/>
    <x v="8"/>
    <x v="2"/>
  </r>
  <r>
    <x v="1444"/>
    <x v="8"/>
    <x v="21"/>
    <n v="19"/>
    <n v="266"/>
    <x v="53"/>
    <x v="54"/>
    <x v="1"/>
    <x v="0"/>
    <x v="0"/>
    <x v="0"/>
    <x v="26"/>
    <n v="1"/>
    <x v="8"/>
    <x v="1"/>
  </r>
  <r>
    <x v="1445"/>
    <x v="2"/>
    <x v="12"/>
    <n v="51.4"/>
    <n v="205.6"/>
    <x v="53"/>
    <x v="55"/>
    <x v="2"/>
    <x v="0"/>
    <x v="0"/>
    <x v="0"/>
    <x v="26"/>
    <n v="0"/>
    <x v="8"/>
    <x v="2"/>
  </r>
  <r>
    <x v="1446"/>
    <x v="10"/>
    <x v="1"/>
    <n v="39.799999999999997"/>
    <n v="79.599999999999994"/>
    <x v="53"/>
    <x v="52"/>
    <x v="1"/>
    <x v="3"/>
    <x v="1"/>
    <x v="0"/>
    <x v="13"/>
    <n v="3"/>
    <x v="8"/>
    <x v="1"/>
  </r>
  <r>
    <x v="1447"/>
    <x v="6"/>
    <x v="9"/>
    <n v="61"/>
    <n v="305"/>
    <x v="53"/>
    <x v="54"/>
    <x v="0"/>
    <x v="0"/>
    <x v="2"/>
    <x v="0"/>
    <x v="21"/>
    <n v="1"/>
    <x v="8"/>
    <x v="0"/>
  </r>
  <r>
    <x v="1448"/>
    <x v="8"/>
    <x v="5"/>
    <n v="15.1"/>
    <n v="166.1"/>
    <x v="54"/>
    <x v="59"/>
    <x v="1"/>
    <x v="3"/>
    <x v="2"/>
    <x v="0"/>
    <x v="2"/>
    <n v="5"/>
    <x v="8"/>
    <x v="1"/>
  </r>
  <r>
    <x v="1449"/>
    <x v="1"/>
    <x v="3"/>
    <n v="71.3"/>
    <n v="499.09999999999997"/>
    <x v="54"/>
    <x v="51"/>
    <x v="1"/>
    <x v="4"/>
    <x v="0"/>
    <x v="0"/>
    <x v="3"/>
    <n v="1"/>
    <x v="8"/>
    <x v="1"/>
  </r>
  <r>
    <x v="1450"/>
    <x v="10"/>
    <x v="0"/>
    <n v="25.8"/>
    <n v="25.8"/>
    <x v="54"/>
    <x v="52"/>
    <x v="2"/>
    <x v="0"/>
    <x v="2"/>
    <x v="0"/>
    <x v="3"/>
    <n v="2"/>
    <x v="8"/>
    <x v="2"/>
  </r>
  <r>
    <x v="1451"/>
    <x v="8"/>
    <x v="9"/>
    <n v="39.6"/>
    <n v="198"/>
    <x v="54"/>
    <x v="52"/>
    <x v="1"/>
    <x v="1"/>
    <x v="2"/>
    <x v="0"/>
    <x v="3"/>
    <n v="2"/>
    <x v="8"/>
    <x v="1"/>
  </r>
  <r>
    <x v="1452"/>
    <x v="5"/>
    <x v="1"/>
    <n v="64"/>
    <n v="128"/>
    <x v="54"/>
    <x v="54"/>
    <x v="1"/>
    <x v="1"/>
    <x v="1"/>
    <x v="0"/>
    <x v="3"/>
    <n v="0"/>
    <x v="8"/>
    <x v="1"/>
  </r>
  <r>
    <x v="1453"/>
    <x v="8"/>
    <x v="1"/>
    <n v="30.6"/>
    <n v="61.2"/>
    <x v="54"/>
    <x v="53"/>
    <x v="1"/>
    <x v="0"/>
    <x v="2"/>
    <x v="0"/>
    <x v="3"/>
    <n v="3"/>
    <x v="8"/>
    <x v="1"/>
  </r>
  <r>
    <x v="1454"/>
    <x v="8"/>
    <x v="1"/>
    <n v="21.3"/>
    <n v="42.6"/>
    <x v="54"/>
    <x v="51"/>
    <x v="1"/>
    <x v="0"/>
    <x v="1"/>
    <x v="0"/>
    <x v="3"/>
    <n v="1"/>
    <x v="8"/>
    <x v="1"/>
  </r>
  <r>
    <x v="1455"/>
    <x v="7"/>
    <x v="0"/>
    <n v="40.799999999999997"/>
    <n v="40.799999999999997"/>
    <x v="54"/>
    <x v="52"/>
    <x v="2"/>
    <x v="4"/>
    <x v="0"/>
    <x v="0"/>
    <x v="3"/>
    <n v="2"/>
    <x v="8"/>
    <x v="2"/>
  </r>
  <r>
    <x v="1456"/>
    <x v="9"/>
    <x v="12"/>
    <n v="27.7"/>
    <n v="110.8"/>
    <x v="54"/>
    <x v="51"/>
    <x v="2"/>
    <x v="0"/>
    <x v="1"/>
    <x v="0"/>
    <x v="3"/>
    <n v="1"/>
    <x v="8"/>
    <x v="2"/>
  </r>
  <r>
    <x v="1457"/>
    <x v="6"/>
    <x v="1"/>
    <n v="64.599999999999994"/>
    <n v="129.19999999999999"/>
    <x v="54"/>
    <x v="51"/>
    <x v="1"/>
    <x v="0"/>
    <x v="1"/>
    <x v="0"/>
    <x v="3"/>
    <n v="1"/>
    <x v="8"/>
    <x v="1"/>
  </r>
  <r>
    <x v="1458"/>
    <x v="6"/>
    <x v="27"/>
    <n v="91.1"/>
    <n v="1457.6"/>
    <x v="54"/>
    <x v="51"/>
    <x v="2"/>
    <x v="1"/>
    <x v="2"/>
    <x v="0"/>
    <x v="3"/>
    <n v="1"/>
    <x v="8"/>
    <x v="2"/>
  </r>
  <r>
    <x v="1459"/>
    <x v="1"/>
    <x v="0"/>
    <n v="39.5"/>
    <n v="39.5"/>
    <x v="54"/>
    <x v="61"/>
    <x v="2"/>
    <x v="0"/>
    <x v="0"/>
    <x v="0"/>
    <x v="3"/>
    <n v="8"/>
    <x v="8"/>
    <x v="2"/>
  </r>
  <r>
    <x v="1460"/>
    <x v="9"/>
    <x v="1"/>
    <n v="21.8"/>
    <n v="43.6"/>
    <x v="54"/>
    <x v="58"/>
    <x v="1"/>
    <x v="4"/>
    <x v="2"/>
    <x v="0"/>
    <x v="3"/>
    <n v="4"/>
    <x v="8"/>
    <x v="1"/>
  </r>
  <r>
    <x v="1461"/>
    <x v="8"/>
    <x v="1"/>
    <n v="51"/>
    <n v="102"/>
    <x v="54"/>
    <x v="53"/>
    <x v="1"/>
    <x v="3"/>
    <x v="2"/>
    <x v="0"/>
    <x v="3"/>
    <n v="3"/>
    <x v="8"/>
    <x v="1"/>
  </r>
  <r>
    <x v="1462"/>
    <x v="2"/>
    <x v="0"/>
    <n v="92.6"/>
    <n v="92.6"/>
    <x v="54"/>
    <x v="53"/>
    <x v="2"/>
    <x v="0"/>
    <x v="2"/>
    <x v="0"/>
    <x v="35"/>
    <n v="3"/>
    <x v="8"/>
    <x v="2"/>
  </r>
  <r>
    <x v="1463"/>
    <x v="9"/>
    <x v="1"/>
    <n v="31.1"/>
    <n v="62.2"/>
    <x v="54"/>
    <x v="59"/>
    <x v="0"/>
    <x v="1"/>
    <x v="3"/>
    <x v="0"/>
    <x v="23"/>
    <n v="5"/>
    <x v="8"/>
    <x v="0"/>
  </r>
  <r>
    <x v="1464"/>
    <x v="5"/>
    <x v="2"/>
    <n v="56.4"/>
    <n v="169.2"/>
    <x v="54"/>
    <x v="51"/>
    <x v="0"/>
    <x v="1"/>
    <x v="0"/>
    <x v="0"/>
    <x v="6"/>
    <n v="1"/>
    <x v="8"/>
    <x v="0"/>
  </r>
  <r>
    <x v="1465"/>
    <x v="9"/>
    <x v="0"/>
    <n v="41.9"/>
    <n v="41.9"/>
    <x v="54"/>
    <x v="54"/>
    <x v="1"/>
    <x v="1"/>
    <x v="0"/>
    <x v="0"/>
    <x v="6"/>
    <n v="0"/>
    <x v="8"/>
    <x v="1"/>
  </r>
  <r>
    <x v="1466"/>
    <x v="10"/>
    <x v="3"/>
    <n v="45.9"/>
    <n v="321.3"/>
    <x v="54"/>
    <x v="51"/>
    <x v="1"/>
    <x v="3"/>
    <x v="2"/>
    <x v="0"/>
    <x v="8"/>
    <n v="1"/>
    <x v="8"/>
    <x v="1"/>
  </r>
  <r>
    <x v="1467"/>
    <x v="14"/>
    <x v="11"/>
    <n v="24.4"/>
    <n v="219.6"/>
    <x v="54"/>
    <x v="58"/>
    <x v="1"/>
    <x v="3"/>
    <x v="2"/>
    <x v="0"/>
    <x v="8"/>
    <n v="4"/>
    <x v="8"/>
    <x v="1"/>
  </r>
  <r>
    <x v="1468"/>
    <x v="8"/>
    <x v="0"/>
    <n v="18.2"/>
    <n v="18.2"/>
    <x v="54"/>
    <x v="51"/>
    <x v="2"/>
    <x v="2"/>
    <x v="2"/>
    <x v="0"/>
    <x v="8"/>
    <n v="1"/>
    <x v="8"/>
    <x v="2"/>
  </r>
  <r>
    <x v="1469"/>
    <x v="8"/>
    <x v="12"/>
    <n v="51.2"/>
    <n v="204.8"/>
    <x v="54"/>
    <x v="51"/>
    <x v="2"/>
    <x v="0"/>
    <x v="0"/>
    <x v="0"/>
    <x v="8"/>
    <n v="1"/>
    <x v="8"/>
    <x v="2"/>
  </r>
  <r>
    <x v="1470"/>
    <x v="6"/>
    <x v="0"/>
    <n v="59.7"/>
    <n v="59.7"/>
    <x v="54"/>
    <x v="53"/>
    <x v="1"/>
    <x v="0"/>
    <x v="2"/>
    <x v="0"/>
    <x v="8"/>
    <n v="3"/>
    <x v="8"/>
    <x v="1"/>
  </r>
  <r>
    <x v="1471"/>
    <x v="4"/>
    <x v="1"/>
    <n v="33.6"/>
    <n v="67.2"/>
    <x v="54"/>
    <x v="52"/>
    <x v="2"/>
    <x v="0"/>
    <x v="0"/>
    <x v="0"/>
    <x v="17"/>
    <n v="2"/>
    <x v="8"/>
    <x v="2"/>
  </r>
  <r>
    <x v="1472"/>
    <x v="12"/>
    <x v="0"/>
    <n v="90.4"/>
    <n v="90.4"/>
    <x v="54"/>
    <x v="58"/>
    <x v="1"/>
    <x v="1"/>
    <x v="2"/>
    <x v="0"/>
    <x v="10"/>
    <n v="4"/>
    <x v="8"/>
    <x v="1"/>
  </r>
  <r>
    <x v="1473"/>
    <x v="11"/>
    <x v="2"/>
    <n v="70.3"/>
    <n v="210.89999999999998"/>
    <x v="54"/>
    <x v="54"/>
    <x v="1"/>
    <x v="1"/>
    <x v="2"/>
    <x v="0"/>
    <x v="11"/>
    <n v="0"/>
    <x v="8"/>
    <x v="1"/>
  </r>
  <r>
    <x v="1474"/>
    <x v="4"/>
    <x v="1"/>
    <n v="20.5"/>
    <n v="41"/>
    <x v="54"/>
    <x v="53"/>
    <x v="2"/>
    <x v="0"/>
    <x v="1"/>
    <x v="0"/>
    <x v="11"/>
    <n v="3"/>
    <x v="8"/>
    <x v="2"/>
  </r>
  <r>
    <x v="1475"/>
    <x v="5"/>
    <x v="5"/>
    <n v="37.6"/>
    <n v="413.6"/>
    <x v="54"/>
    <x v="51"/>
    <x v="1"/>
    <x v="0"/>
    <x v="0"/>
    <x v="0"/>
    <x v="38"/>
    <n v="1"/>
    <x v="8"/>
    <x v="1"/>
  </r>
  <r>
    <x v="1476"/>
    <x v="5"/>
    <x v="12"/>
    <n v="61.5"/>
    <n v="246"/>
    <x v="54"/>
    <x v="62"/>
    <x v="2"/>
    <x v="1"/>
    <x v="4"/>
    <x v="0"/>
    <x v="13"/>
    <n v="7"/>
    <x v="8"/>
    <x v="2"/>
  </r>
  <r>
    <x v="1477"/>
    <x v="9"/>
    <x v="0"/>
    <n v="33.5"/>
    <n v="33.5"/>
    <x v="55"/>
    <x v="59"/>
    <x v="1"/>
    <x v="4"/>
    <x v="1"/>
    <x v="0"/>
    <x v="21"/>
    <n v="4"/>
    <x v="8"/>
    <x v="1"/>
  </r>
  <r>
    <x v="1478"/>
    <x v="4"/>
    <x v="2"/>
    <n v="29.3"/>
    <n v="87.9"/>
    <x v="55"/>
    <x v="53"/>
    <x v="2"/>
    <x v="1"/>
    <x v="2"/>
    <x v="0"/>
    <x v="1"/>
    <n v="2"/>
    <x v="8"/>
    <x v="2"/>
  </r>
  <r>
    <x v="1479"/>
    <x v="2"/>
    <x v="1"/>
    <n v="125.9"/>
    <n v="251.8"/>
    <x v="55"/>
    <x v="57"/>
    <x v="2"/>
    <x v="4"/>
    <x v="1"/>
    <x v="0"/>
    <x v="1"/>
    <n v="5"/>
    <x v="8"/>
    <x v="2"/>
  </r>
  <r>
    <x v="1480"/>
    <x v="5"/>
    <x v="9"/>
    <n v="29.3"/>
    <n v="146.5"/>
    <x v="55"/>
    <x v="51"/>
    <x v="1"/>
    <x v="2"/>
    <x v="0"/>
    <x v="0"/>
    <x v="44"/>
    <n v="0"/>
    <x v="8"/>
    <x v="1"/>
  </r>
  <r>
    <x v="1481"/>
    <x v="9"/>
    <x v="0"/>
    <n v="37.799999999999997"/>
    <n v="37.799999999999997"/>
    <x v="55"/>
    <x v="58"/>
    <x v="2"/>
    <x v="0"/>
    <x v="2"/>
    <x v="0"/>
    <x v="3"/>
    <n v="3"/>
    <x v="8"/>
    <x v="2"/>
  </r>
  <r>
    <x v="1482"/>
    <x v="0"/>
    <x v="12"/>
    <n v="31.7"/>
    <n v="126.8"/>
    <x v="55"/>
    <x v="52"/>
    <x v="1"/>
    <x v="2"/>
    <x v="2"/>
    <x v="0"/>
    <x v="3"/>
    <n v="1"/>
    <x v="8"/>
    <x v="1"/>
  </r>
  <r>
    <x v="1483"/>
    <x v="8"/>
    <x v="9"/>
    <n v="26.3"/>
    <n v="131.5"/>
    <x v="55"/>
    <x v="52"/>
    <x v="2"/>
    <x v="3"/>
    <x v="2"/>
    <x v="0"/>
    <x v="3"/>
    <n v="1"/>
    <x v="8"/>
    <x v="2"/>
  </r>
  <r>
    <x v="1484"/>
    <x v="8"/>
    <x v="2"/>
    <n v="23.1"/>
    <n v="69.300000000000011"/>
    <x v="55"/>
    <x v="52"/>
    <x v="3"/>
    <x v="2"/>
    <x v="1"/>
    <x v="0"/>
    <x v="3"/>
    <n v="1"/>
    <x v="8"/>
    <x v="3"/>
  </r>
  <r>
    <x v="1485"/>
    <x v="4"/>
    <x v="0"/>
    <n v="22.3"/>
    <n v="22.3"/>
    <x v="55"/>
    <x v="53"/>
    <x v="2"/>
    <x v="2"/>
    <x v="0"/>
    <x v="0"/>
    <x v="3"/>
    <n v="2"/>
    <x v="8"/>
    <x v="2"/>
  </r>
  <r>
    <x v="1486"/>
    <x v="12"/>
    <x v="1"/>
    <n v="99.5"/>
    <n v="199"/>
    <x v="55"/>
    <x v="53"/>
    <x v="2"/>
    <x v="2"/>
    <x v="0"/>
    <x v="0"/>
    <x v="3"/>
    <n v="2"/>
    <x v="8"/>
    <x v="2"/>
  </r>
  <r>
    <x v="1487"/>
    <x v="12"/>
    <x v="12"/>
    <n v="47.4"/>
    <n v="189.6"/>
    <x v="55"/>
    <x v="58"/>
    <x v="2"/>
    <x v="1"/>
    <x v="0"/>
    <x v="0"/>
    <x v="3"/>
    <n v="3"/>
    <x v="8"/>
    <x v="2"/>
  </r>
  <r>
    <x v="1488"/>
    <x v="0"/>
    <x v="5"/>
    <n v="37.5"/>
    <n v="412.5"/>
    <x v="55"/>
    <x v="53"/>
    <x v="2"/>
    <x v="0"/>
    <x v="3"/>
    <x v="0"/>
    <x v="3"/>
    <n v="2"/>
    <x v="8"/>
    <x v="2"/>
  </r>
  <r>
    <x v="1489"/>
    <x v="10"/>
    <x v="0"/>
    <n v="45.1"/>
    <n v="45.1"/>
    <x v="55"/>
    <x v="57"/>
    <x v="1"/>
    <x v="3"/>
    <x v="2"/>
    <x v="0"/>
    <x v="24"/>
    <n v="5"/>
    <x v="8"/>
    <x v="1"/>
  </r>
  <r>
    <x v="1490"/>
    <x v="5"/>
    <x v="7"/>
    <n v="34.4"/>
    <n v="344"/>
    <x v="55"/>
    <x v="58"/>
    <x v="1"/>
    <x v="2"/>
    <x v="0"/>
    <x v="0"/>
    <x v="16"/>
    <n v="3"/>
    <x v="8"/>
    <x v="1"/>
  </r>
  <r>
    <x v="1491"/>
    <x v="4"/>
    <x v="1"/>
    <n v="38"/>
    <n v="76"/>
    <x v="55"/>
    <x v="53"/>
    <x v="2"/>
    <x v="1"/>
    <x v="0"/>
    <x v="0"/>
    <x v="5"/>
    <n v="2"/>
    <x v="8"/>
    <x v="2"/>
  </r>
  <r>
    <x v="1492"/>
    <x v="3"/>
    <x v="21"/>
    <n v="32.4"/>
    <n v="453.59999999999997"/>
    <x v="55"/>
    <x v="58"/>
    <x v="1"/>
    <x v="4"/>
    <x v="0"/>
    <x v="0"/>
    <x v="6"/>
    <n v="3"/>
    <x v="8"/>
    <x v="1"/>
  </r>
  <r>
    <x v="1493"/>
    <x v="6"/>
    <x v="2"/>
    <n v="40.9"/>
    <n v="122.69999999999999"/>
    <x v="55"/>
    <x v="51"/>
    <x v="0"/>
    <x v="1"/>
    <x v="0"/>
    <x v="0"/>
    <x v="8"/>
    <n v="0"/>
    <x v="8"/>
    <x v="0"/>
  </r>
  <r>
    <x v="1494"/>
    <x v="7"/>
    <x v="3"/>
    <n v="76.2"/>
    <n v="533.4"/>
    <x v="55"/>
    <x v="53"/>
    <x v="2"/>
    <x v="2"/>
    <x v="1"/>
    <x v="0"/>
    <x v="8"/>
    <n v="2"/>
    <x v="8"/>
    <x v="2"/>
  </r>
  <r>
    <x v="1495"/>
    <x v="2"/>
    <x v="0"/>
    <n v="85.6"/>
    <n v="85.6"/>
    <x v="55"/>
    <x v="53"/>
    <x v="1"/>
    <x v="2"/>
    <x v="0"/>
    <x v="0"/>
    <x v="8"/>
    <n v="2"/>
    <x v="8"/>
    <x v="1"/>
  </r>
  <r>
    <x v="1496"/>
    <x v="4"/>
    <x v="12"/>
    <n v="25"/>
    <n v="100"/>
    <x v="55"/>
    <x v="53"/>
    <x v="2"/>
    <x v="2"/>
    <x v="2"/>
    <x v="0"/>
    <x v="8"/>
    <n v="2"/>
    <x v="8"/>
    <x v="2"/>
  </r>
  <r>
    <x v="1497"/>
    <x v="2"/>
    <x v="9"/>
    <n v="150.69999999999999"/>
    <n v="753.5"/>
    <x v="55"/>
    <x v="52"/>
    <x v="0"/>
    <x v="0"/>
    <x v="2"/>
    <x v="0"/>
    <x v="8"/>
    <n v="1"/>
    <x v="8"/>
    <x v="0"/>
  </r>
  <r>
    <x v="1498"/>
    <x v="8"/>
    <x v="0"/>
    <n v="19.600000000000001"/>
    <n v="19.600000000000001"/>
    <x v="55"/>
    <x v="52"/>
    <x v="1"/>
    <x v="1"/>
    <x v="4"/>
    <x v="0"/>
    <x v="8"/>
    <n v="1"/>
    <x v="8"/>
    <x v="1"/>
  </r>
  <r>
    <x v="1499"/>
    <x v="13"/>
    <x v="1"/>
    <n v="37.5"/>
    <n v="75"/>
    <x v="55"/>
    <x v="58"/>
    <x v="2"/>
    <x v="1"/>
    <x v="2"/>
    <x v="0"/>
    <x v="17"/>
    <n v="3"/>
    <x v="8"/>
    <x v="2"/>
  </r>
  <r>
    <x v="1500"/>
    <x v="9"/>
    <x v="2"/>
    <n v="51.9"/>
    <n v="155.69999999999999"/>
    <x v="55"/>
    <x v="62"/>
    <x v="2"/>
    <x v="0"/>
    <x v="4"/>
    <x v="0"/>
    <x v="11"/>
    <n v="6"/>
    <x v="8"/>
    <x v="2"/>
  </r>
  <r>
    <x v="1501"/>
    <x v="1"/>
    <x v="1"/>
    <n v="30.9"/>
    <n v="61.8"/>
    <x v="55"/>
    <x v="53"/>
    <x v="2"/>
    <x v="1"/>
    <x v="0"/>
    <x v="0"/>
    <x v="18"/>
    <n v="2"/>
    <x v="8"/>
    <x v="2"/>
  </r>
  <r>
    <x v="1502"/>
    <x v="4"/>
    <x v="2"/>
    <n v="21.2"/>
    <n v="63.599999999999994"/>
    <x v="55"/>
    <x v="58"/>
    <x v="2"/>
    <x v="1"/>
    <x v="0"/>
    <x v="0"/>
    <x v="19"/>
    <n v="3"/>
    <x v="8"/>
    <x v="2"/>
  </r>
  <r>
    <x v="1503"/>
    <x v="13"/>
    <x v="14"/>
    <n v="17.5"/>
    <n v="297.5"/>
    <x v="55"/>
    <x v="52"/>
    <x v="1"/>
    <x v="1"/>
    <x v="1"/>
    <x v="0"/>
    <x v="13"/>
    <n v="1"/>
    <x v="8"/>
    <x v="1"/>
  </r>
  <r>
    <x v="1504"/>
    <x v="12"/>
    <x v="1"/>
    <n v="53.8"/>
    <n v="107.6"/>
    <x v="55"/>
    <x v="57"/>
    <x v="2"/>
    <x v="0"/>
    <x v="2"/>
    <x v="0"/>
    <x v="21"/>
    <n v="5"/>
    <x v="8"/>
    <x v="2"/>
  </r>
  <r>
    <x v="1505"/>
    <x v="19"/>
    <x v="1"/>
    <n v="17"/>
    <n v="34"/>
    <x v="55"/>
    <x v="52"/>
    <x v="1"/>
    <x v="3"/>
    <x v="0"/>
    <x v="0"/>
    <x v="21"/>
    <n v="1"/>
    <x v="8"/>
    <x v="1"/>
  </r>
  <r>
    <x v="1506"/>
    <x v="6"/>
    <x v="0"/>
    <n v="103.2"/>
    <n v="103.2"/>
    <x v="55"/>
    <x v="63"/>
    <x v="1"/>
    <x v="2"/>
    <x v="1"/>
    <x v="0"/>
    <x v="1"/>
    <n v="8"/>
    <x v="8"/>
    <x v="1"/>
  </r>
  <r>
    <x v="1507"/>
    <x v="6"/>
    <x v="12"/>
    <n v="70.3"/>
    <n v="281.2"/>
    <x v="55"/>
    <x v="52"/>
    <x v="1"/>
    <x v="0"/>
    <x v="0"/>
    <x v="0"/>
    <x v="3"/>
    <n v="1"/>
    <x v="8"/>
    <x v="1"/>
  </r>
  <r>
    <x v="1508"/>
    <x v="2"/>
    <x v="1"/>
    <n v="73.8"/>
    <n v="147.6"/>
    <x v="55"/>
    <x v="51"/>
    <x v="1"/>
    <x v="3"/>
    <x v="2"/>
    <x v="0"/>
    <x v="3"/>
    <n v="0"/>
    <x v="8"/>
    <x v="1"/>
  </r>
  <r>
    <x v="1509"/>
    <x v="1"/>
    <x v="4"/>
    <n v="67.7"/>
    <n v="812.40000000000009"/>
    <x v="55"/>
    <x v="59"/>
    <x v="1"/>
    <x v="1"/>
    <x v="1"/>
    <x v="0"/>
    <x v="3"/>
    <n v="4"/>
    <x v="8"/>
    <x v="1"/>
  </r>
  <r>
    <x v="1510"/>
    <x v="13"/>
    <x v="3"/>
    <n v="43.8"/>
    <n v="306.59999999999997"/>
    <x v="55"/>
    <x v="53"/>
    <x v="1"/>
    <x v="1"/>
    <x v="0"/>
    <x v="0"/>
    <x v="3"/>
    <n v="2"/>
    <x v="8"/>
    <x v="1"/>
  </r>
  <r>
    <x v="1511"/>
    <x v="17"/>
    <x v="13"/>
    <n v="71.900000000000006"/>
    <n v="431.40000000000003"/>
    <x v="55"/>
    <x v="52"/>
    <x v="2"/>
    <x v="2"/>
    <x v="0"/>
    <x v="0"/>
    <x v="3"/>
    <n v="1"/>
    <x v="8"/>
    <x v="2"/>
  </r>
  <r>
    <x v="1512"/>
    <x v="8"/>
    <x v="1"/>
    <n v="26.3"/>
    <n v="52.6"/>
    <x v="56"/>
    <x v="58"/>
    <x v="2"/>
    <x v="0"/>
    <x v="1"/>
    <x v="0"/>
    <x v="3"/>
    <n v="2"/>
    <x v="8"/>
    <x v="2"/>
  </r>
  <r>
    <x v="1513"/>
    <x v="6"/>
    <x v="12"/>
    <n v="52.6"/>
    <n v="210.4"/>
    <x v="56"/>
    <x v="58"/>
    <x v="2"/>
    <x v="2"/>
    <x v="1"/>
    <x v="0"/>
    <x v="3"/>
    <n v="2"/>
    <x v="8"/>
    <x v="2"/>
  </r>
  <r>
    <x v="1514"/>
    <x v="10"/>
    <x v="0"/>
    <n v="32.700000000000003"/>
    <n v="32.700000000000003"/>
    <x v="56"/>
    <x v="63"/>
    <x v="2"/>
    <x v="0"/>
    <x v="2"/>
    <x v="0"/>
    <x v="3"/>
    <n v="7"/>
    <x v="8"/>
    <x v="2"/>
  </r>
  <r>
    <x v="1515"/>
    <x v="5"/>
    <x v="12"/>
    <n v="38.9"/>
    <n v="155.6"/>
    <x v="56"/>
    <x v="53"/>
    <x v="2"/>
    <x v="0"/>
    <x v="0"/>
    <x v="0"/>
    <x v="3"/>
    <n v="1"/>
    <x v="8"/>
    <x v="2"/>
  </r>
  <r>
    <x v="1516"/>
    <x v="9"/>
    <x v="9"/>
    <n v="35"/>
    <n v="175"/>
    <x v="56"/>
    <x v="58"/>
    <x v="1"/>
    <x v="0"/>
    <x v="0"/>
    <x v="0"/>
    <x v="3"/>
    <n v="2"/>
    <x v="8"/>
    <x v="1"/>
  </r>
  <r>
    <x v="1517"/>
    <x v="2"/>
    <x v="1"/>
    <n v="121"/>
    <n v="242"/>
    <x v="56"/>
    <x v="53"/>
    <x v="2"/>
    <x v="1"/>
    <x v="1"/>
    <x v="0"/>
    <x v="3"/>
    <n v="1"/>
    <x v="8"/>
    <x v="2"/>
  </r>
  <r>
    <x v="1518"/>
    <x v="6"/>
    <x v="2"/>
    <n v="65.099999999999994"/>
    <n v="195.29999999999998"/>
    <x v="56"/>
    <x v="57"/>
    <x v="1"/>
    <x v="2"/>
    <x v="0"/>
    <x v="0"/>
    <x v="36"/>
    <n v="4"/>
    <x v="8"/>
    <x v="1"/>
  </r>
  <r>
    <x v="1519"/>
    <x v="1"/>
    <x v="38"/>
    <n v="63.8"/>
    <n v="1339.8"/>
    <x v="56"/>
    <x v="58"/>
    <x v="2"/>
    <x v="0"/>
    <x v="0"/>
    <x v="0"/>
    <x v="8"/>
    <n v="2"/>
    <x v="8"/>
    <x v="2"/>
  </r>
  <r>
    <x v="1520"/>
    <x v="7"/>
    <x v="0"/>
    <n v="77.7"/>
    <n v="77.7"/>
    <x v="56"/>
    <x v="58"/>
    <x v="1"/>
    <x v="0"/>
    <x v="0"/>
    <x v="0"/>
    <x v="8"/>
    <n v="2"/>
    <x v="8"/>
    <x v="1"/>
  </r>
  <r>
    <x v="1521"/>
    <x v="5"/>
    <x v="12"/>
    <n v="60.3"/>
    <n v="241.2"/>
    <x v="56"/>
    <x v="52"/>
    <x v="1"/>
    <x v="0"/>
    <x v="2"/>
    <x v="0"/>
    <x v="8"/>
    <n v="0"/>
    <x v="8"/>
    <x v="1"/>
  </r>
  <r>
    <x v="1522"/>
    <x v="5"/>
    <x v="1"/>
    <n v="124.1"/>
    <n v="248.2"/>
    <x v="56"/>
    <x v="59"/>
    <x v="2"/>
    <x v="0"/>
    <x v="2"/>
    <x v="0"/>
    <x v="8"/>
    <n v="3"/>
    <x v="8"/>
    <x v="2"/>
  </r>
  <r>
    <x v="1523"/>
    <x v="16"/>
    <x v="3"/>
    <n v="66"/>
    <n v="462"/>
    <x v="56"/>
    <x v="52"/>
    <x v="0"/>
    <x v="3"/>
    <x v="0"/>
    <x v="0"/>
    <x v="17"/>
    <n v="0"/>
    <x v="8"/>
    <x v="0"/>
  </r>
  <r>
    <x v="1524"/>
    <x v="2"/>
    <x v="42"/>
    <n v="118.2"/>
    <n v="7446.6"/>
    <x v="56"/>
    <x v="62"/>
    <x v="0"/>
    <x v="0"/>
    <x v="0"/>
    <x v="0"/>
    <x v="17"/>
    <n v="5"/>
    <x v="8"/>
    <x v="0"/>
  </r>
  <r>
    <x v="1525"/>
    <x v="5"/>
    <x v="9"/>
    <n v="64.3"/>
    <n v="321.5"/>
    <x v="56"/>
    <x v="53"/>
    <x v="1"/>
    <x v="4"/>
    <x v="4"/>
    <x v="0"/>
    <x v="26"/>
    <n v="1"/>
    <x v="8"/>
    <x v="1"/>
  </r>
  <r>
    <x v="1526"/>
    <x v="1"/>
    <x v="1"/>
    <n v="54.8"/>
    <n v="109.6"/>
    <x v="56"/>
    <x v="52"/>
    <x v="1"/>
    <x v="0"/>
    <x v="1"/>
    <x v="0"/>
    <x v="26"/>
    <n v="0"/>
    <x v="8"/>
    <x v="1"/>
  </r>
  <r>
    <x v="1527"/>
    <x v="7"/>
    <x v="1"/>
    <n v="78.599999999999994"/>
    <n v="157.19999999999999"/>
    <x v="56"/>
    <x v="53"/>
    <x v="1"/>
    <x v="0"/>
    <x v="2"/>
    <x v="0"/>
    <x v="9"/>
    <n v="1"/>
    <x v="8"/>
    <x v="1"/>
  </r>
  <r>
    <x v="1528"/>
    <x v="2"/>
    <x v="9"/>
    <n v="158.5"/>
    <n v="792.5"/>
    <x v="56"/>
    <x v="58"/>
    <x v="0"/>
    <x v="2"/>
    <x v="2"/>
    <x v="0"/>
    <x v="9"/>
    <n v="2"/>
    <x v="8"/>
    <x v="0"/>
  </r>
  <r>
    <x v="1529"/>
    <x v="4"/>
    <x v="7"/>
    <n v="23.5"/>
    <n v="235"/>
    <x v="56"/>
    <x v="59"/>
    <x v="1"/>
    <x v="0"/>
    <x v="4"/>
    <x v="0"/>
    <x v="10"/>
    <n v="3"/>
    <x v="8"/>
    <x v="1"/>
  </r>
  <r>
    <x v="1530"/>
    <x v="5"/>
    <x v="1"/>
    <n v="32.1"/>
    <n v="64.2"/>
    <x v="56"/>
    <x v="58"/>
    <x v="0"/>
    <x v="3"/>
    <x v="0"/>
    <x v="0"/>
    <x v="10"/>
    <n v="2"/>
    <x v="8"/>
    <x v="0"/>
  </r>
  <r>
    <x v="1531"/>
    <x v="17"/>
    <x v="12"/>
    <n v="71.900000000000006"/>
    <n v="287.60000000000002"/>
    <x v="56"/>
    <x v="52"/>
    <x v="1"/>
    <x v="2"/>
    <x v="0"/>
    <x v="0"/>
    <x v="19"/>
    <n v="0"/>
    <x v="8"/>
    <x v="1"/>
  </r>
  <r>
    <x v="1532"/>
    <x v="4"/>
    <x v="13"/>
    <n v="22.3"/>
    <n v="133.80000000000001"/>
    <x v="56"/>
    <x v="53"/>
    <x v="0"/>
    <x v="3"/>
    <x v="2"/>
    <x v="0"/>
    <x v="13"/>
    <n v="1"/>
    <x v="8"/>
    <x v="0"/>
  </r>
  <r>
    <x v="1533"/>
    <x v="11"/>
    <x v="1"/>
    <n v="29.5"/>
    <n v="59"/>
    <x v="56"/>
    <x v="53"/>
    <x v="2"/>
    <x v="0"/>
    <x v="2"/>
    <x v="0"/>
    <x v="13"/>
    <n v="1"/>
    <x v="8"/>
    <x v="2"/>
  </r>
  <r>
    <x v="1534"/>
    <x v="6"/>
    <x v="12"/>
    <n v="41.9"/>
    <n v="167.6"/>
    <x v="56"/>
    <x v="57"/>
    <x v="2"/>
    <x v="0"/>
    <x v="1"/>
    <x v="0"/>
    <x v="21"/>
    <n v="4"/>
    <x v="8"/>
    <x v="2"/>
  </r>
  <r>
    <x v="1535"/>
    <x v="6"/>
    <x v="2"/>
    <n v="107.8"/>
    <n v="323.39999999999998"/>
    <x v="56"/>
    <x v="53"/>
    <x v="1"/>
    <x v="1"/>
    <x v="2"/>
    <x v="0"/>
    <x v="46"/>
    <n v="1"/>
    <x v="8"/>
    <x v="1"/>
  </r>
  <r>
    <x v="1536"/>
    <x v="4"/>
    <x v="9"/>
    <n v="18.100000000000001"/>
    <n v="90.5"/>
    <x v="56"/>
    <x v="59"/>
    <x v="1"/>
    <x v="0"/>
    <x v="2"/>
    <x v="0"/>
    <x v="2"/>
    <n v="3"/>
    <x v="8"/>
    <x v="1"/>
  </r>
  <r>
    <x v="1537"/>
    <x v="12"/>
    <x v="11"/>
    <n v="79.8"/>
    <n v="718.19999999999993"/>
    <x v="56"/>
    <x v="53"/>
    <x v="2"/>
    <x v="1"/>
    <x v="1"/>
    <x v="0"/>
    <x v="22"/>
    <n v="1"/>
    <x v="8"/>
    <x v="2"/>
  </r>
  <r>
    <x v="1538"/>
    <x v="0"/>
    <x v="2"/>
    <n v="22.3"/>
    <n v="66.900000000000006"/>
    <x v="56"/>
    <x v="59"/>
    <x v="2"/>
    <x v="0"/>
    <x v="2"/>
    <x v="0"/>
    <x v="22"/>
    <n v="3"/>
    <x v="8"/>
    <x v="2"/>
  </r>
  <r>
    <x v="1539"/>
    <x v="8"/>
    <x v="0"/>
    <n v="22.9"/>
    <n v="22.9"/>
    <x v="56"/>
    <x v="52"/>
    <x v="2"/>
    <x v="1"/>
    <x v="0"/>
    <x v="0"/>
    <x v="22"/>
    <n v="0"/>
    <x v="8"/>
    <x v="2"/>
  </r>
  <r>
    <x v="1540"/>
    <x v="0"/>
    <x v="2"/>
    <n v="16.2"/>
    <n v="48.599999999999994"/>
    <x v="57"/>
    <x v="53"/>
    <x v="1"/>
    <x v="4"/>
    <x v="2"/>
    <x v="0"/>
    <x v="3"/>
    <n v="0"/>
    <x v="8"/>
    <x v="1"/>
  </r>
  <r>
    <x v="1541"/>
    <x v="10"/>
    <x v="12"/>
    <n v="59.5"/>
    <n v="238"/>
    <x v="57"/>
    <x v="58"/>
    <x v="1"/>
    <x v="1"/>
    <x v="2"/>
    <x v="0"/>
    <x v="3"/>
    <n v="1"/>
    <x v="8"/>
    <x v="1"/>
  </r>
  <r>
    <x v="1542"/>
    <x v="18"/>
    <x v="9"/>
    <n v="26.2"/>
    <n v="131"/>
    <x v="57"/>
    <x v="57"/>
    <x v="1"/>
    <x v="3"/>
    <x v="4"/>
    <x v="0"/>
    <x v="3"/>
    <n v="3"/>
    <x v="8"/>
    <x v="1"/>
  </r>
  <r>
    <x v="1543"/>
    <x v="3"/>
    <x v="0"/>
    <n v="44.2"/>
    <n v="44.2"/>
    <x v="57"/>
    <x v="57"/>
    <x v="2"/>
    <x v="1"/>
    <x v="0"/>
    <x v="0"/>
    <x v="3"/>
    <n v="3"/>
    <x v="8"/>
    <x v="2"/>
  </r>
  <r>
    <x v="1544"/>
    <x v="9"/>
    <x v="1"/>
    <n v="59.2"/>
    <n v="118.4"/>
    <x v="57"/>
    <x v="53"/>
    <x v="2"/>
    <x v="1"/>
    <x v="4"/>
    <x v="0"/>
    <x v="3"/>
    <n v="0"/>
    <x v="8"/>
    <x v="2"/>
  </r>
  <r>
    <x v="1545"/>
    <x v="15"/>
    <x v="12"/>
    <n v="41.5"/>
    <n v="166"/>
    <x v="57"/>
    <x v="59"/>
    <x v="2"/>
    <x v="0"/>
    <x v="0"/>
    <x v="0"/>
    <x v="16"/>
    <n v="2"/>
    <x v="8"/>
    <x v="2"/>
  </r>
  <r>
    <x v="1546"/>
    <x v="6"/>
    <x v="4"/>
    <n v="67.099999999999994"/>
    <n v="805.19999999999993"/>
    <x v="57"/>
    <x v="64"/>
    <x v="2"/>
    <x v="0"/>
    <x v="2"/>
    <x v="0"/>
    <x v="23"/>
    <n v="14"/>
    <x v="8"/>
    <x v="2"/>
  </r>
  <r>
    <x v="1547"/>
    <x v="8"/>
    <x v="1"/>
    <n v="28.7"/>
    <n v="57.4"/>
    <x v="57"/>
    <x v="62"/>
    <x v="2"/>
    <x v="1"/>
    <x v="0"/>
    <x v="0"/>
    <x v="6"/>
    <n v="4"/>
    <x v="8"/>
    <x v="2"/>
  </r>
  <r>
    <x v="1548"/>
    <x v="2"/>
    <x v="12"/>
    <n v="132.1"/>
    <n v="528.4"/>
    <x v="57"/>
    <x v="58"/>
    <x v="2"/>
    <x v="0"/>
    <x v="1"/>
    <x v="0"/>
    <x v="6"/>
    <n v="1"/>
    <x v="8"/>
    <x v="2"/>
  </r>
  <r>
    <x v="1549"/>
    <x v="18"/>
    <x v="1"/>
    <n v="47"/>
    <n v="94"/>
    <x v="57"/>
    <x v="59"/>
    <x v="1"/>
    <x v="4"/>
    <x v="0"/>
    <x v="0"/>
    <x v="8"/>
    <n v="2"/>
    <x v="8"/>
    <x v="1"/>
  </r>
  <r>
    <x v="1550"/>
    <x v="8"/>
    <x v="1"/>
    <n v="41.6"/>
    <n v="83.2"/>
    <x v="57"/>
    <x v="62"/>
    <x v="1"/>
    <x v="1"/>
    <x v="2"/>
    <x v="0"/>
    <x v="8"/>
    <n v="4"/>
    <x v="8"/>
    <x v="1"/>
  </r>
  <r>
    <x v="1551"/>
    <x v="8"/>
    <x v="43"/>
    <n v="17.3"/>
    <n v="657.4"/>
    <x v="57"/>
    <x v="59"/>
    <x v="1"/>
    <x v="2"/>
    <x v="2"/>
    <x v="0"/>
    <x v="8"/>
    <n v="2"/>
    <x v="8"/>
    <x v="1"/>
  </r>
  <r>
    <x v="1552"/>
    <x v="13"/>
    <x v="2"/>
    <n v="41.8"/>
    <n v="125.39999999999999"/>
    <x v="57"/>
    <x v="57"/>
    <x v="1"/>
    <x v="0"/>
    <x v="2"/>
    <x v="0"/>
    <x v="8"/>
    <n v="3"/>
    <x v="8"/>
    <x v="1"/>
  </r>
  <r>
    <x v="1553"/>
    <x v="10"/>
    <x v="0"/>
    <n v="24"/>
    <n v="24"/>
    <x v="57"/>
    <x v="58"/>
    <x v="2"/>
    <x v="0"/>
    <x v="0"/>
    <x v="0"/>
    <x v="17"/>
    <n v="1"/>
    <x v="8"/>
    <x v="2"/>
  </r>
  <r>
    <x v="1554"/>
    <x v="14"/>
    <x v="11"/>
    <n v="18.5"/>
    <n v="166.5"/>
    <x v="57"/>
    <x v="59"/>
    <x v="2"/>
    <x v="0"/>
    <x v="0"/>
    <x v="0"/>
    <x v="9"/>
    <n v="2"/>
    <x v="8"/>
    <x v="2"/>
  </r>
  <r>
    <x v="1555"/>
    <x v="3"/>
    <x v="4"/>
    <n v="66.7"/>
    <n v="800.40000000000009"/>
    <x v="57"/>
    <x v="57"/>
    <x v="0"/>
    <x v="0"/>
    <x v="2"/>
    <x v="0"/>
    <x v="11"/>
    <n v="3"/>
    <x v="8"/>
    <x v="0"/>
  </r>
  <r>
    <x v="1556"/>
    <x v="1"/>
    <x v="12"/>
    <n v="33.1"/>
    <n v="132.4"/>
    <x v="57"/>
    <x v="61"/>
    <x v="1"/>
    <x v="3"/>
    <x v="0"/>
    <x v="0"/>
    <x v="11"/>
    <n v="5"/>
    <x v="8"/>
    <x v="1"/>
  </r>
  <r>
    <x v="1557"/>
    <x v="19"/>
    <x v="11"/>
    <n v="42.1"/>
    <n v="378.90000000000003"/>
    <x v="57"/>
    <x v="65"/>
    <x v="1"/>
    <x v="1"/>
    <x v="0"/>
    <x v="0"/>
    <x v="18"/>
    <n v="11"/>
    <x v="8"/>
    <x v="1"/>
  </r>
  <r>
    <x v="1558"/>
    <x v="18"/>
    <x v="3"/>
    <n v="58.7"/>
    <n v="410.90000000000003"/>
    <x v="57"/>
    <x v="53"/>
    <x v="3"/>
    <x v="3"/>
    <x v="0"/>
    <x v="0"/>
    <x v="31"/>
    <n v="0"/>
    <x v="8"/>
    <x v="3"/>
  </r>
  <r>
    <x v="1559"/>
    <x v="6"/>
    <x v="12"/>
    <n v="54"/>
    <n v="216"/>
    <x v="57"/>
    <x v="59"/>
    <x v="2"/>
    <x v="1"/>
    <x v="0"/>
    <x v="0"/>
    <x v="1"/>
    <n v="2"/>
    <x v="8"/>
    <x v="2"/>
  </r>
  <r>
    <x v="1560"/>
    <x v="8"/>
    <x v="0"/>
    <n v="52.1"/>
    <n v="52.1"/>
    <x v="57"/>
    <x v="58"/>
    <x v="2"/>
    <x v="2"/>
    <x v="2"/>
    <x v="0"/>
    <x v="2"/>
    <n v="1"/>
    <x v="8"/>
    <x v="2"/>
  </r>
  <r>
    <x v="1561"/>
    <x v="19"/>
    <x v="1"/>
    <n v="27"/>
    <n v="54"/>
    <x v="57"/>
    <x v="57"/>
    <x v="3"/>
    <x v="2"/>
    <x v="0"/>
    <x v="0"/>
    <x v="22"/>
    <n v="3"/>
    <x v="8"/>
    <x v="3"/>
  </r>
  <r>
    <x v="1562"/>
    <x v="12"/>
    <x v="7"/>
    <n v="31"/>
    <n v="310"/>
    <x v="58"/>
    <x v="59"/>
    <x v="2"/>
    <x v="3"/>
    <x v="2"/>
    <x v="0"/>
    <x v="22"/>
    <n v="1"/>
    <x v="8"/>
    <x v="2"/>
  </r>
  <r>
    <x v="1563"/>
    <x v="10"/>
    <x v="1"/>
    <n v="46.7"/>
    <n v="93.4"/>
    <x v="58"/>
    <x v="58"/>
    <x v="2"/>
    <x v="0"/>
    <x v="0"/>
    <x v="0"/>
    <x v="34"/>
    <n v="0"/>
    <x v="8"/>
    <x v="2"/>
  </r>
  <r>
    <x v="1564"/>
    <x v="6"/>
    <x v="0"/>
    <n v="144.69999999999999"/>
    <n v="144.69999999999999"/>
    <x v="58"/>
    <x v="62"/>
    <x v="1"/>
    <x v="0"/>
    <x v="2"/>
    <x v="0"/>
    <x v="3"/>
    <n v="3"/>
    <x v="8"/>
    <x v="1"/>
  </r>
  <r>
    <x v="1565"/>
    <x v="2"/>
    <x v="11"/>
    <n v="90.9"/>
    <n v="818.1"/>
    <x v="58"/>
    <x v="59"/>
    <x v="1"/>
    <x v="0"/>
    <x v="2"/>
    <x v="0"/>
    <x v="3"/>
    <n v="1"/>
    <x v="8"/>
    <x v="1"/>
  </r>
  <r>
    <x v="1566"/>
    <x v="1"/>
    <x v="1"/>
    <n v="75.8"/>
    <n v="151.6"/>
    <x v="58"/>
    <x v="59"/>
    <x v="2"/>
    <x v="2"/>
    <x v="1"/>
    <x v="0"/>
    <x v="3"/>
    <n v="1"/>
    <x v="8"/>
    <x v="2"/>
  </r>
  <r>
    <x v="1567"/>
    <x v="7"/>
    <x v="9"/>
    <n v="57.9"/>
    <n v="289.5"/>
    <x v="58"/>
    <x v="57"/>
    <x v="1"/>
    <x v="2"/>
    <x v="2"/>
    <x v="0"/>
    <x v="3"/>
    <n v="2"/>
    <x v="8"/>
    <x v="1"/>
  </r>
  <r>
    <x v="1568"/>
    <x v="8"/>
    <x v="9"/>
    <n v="44.8"/>
    <n v="224"/>
    <x v="58"/>
    <x v="59"/>
    <x v="2"/>
    <x v="3"/>
    <x v="2"/>
    <x v="0"/>
    <x v="3"/>
    <n v="1"/>
    <x v="8"/>
    <x v="2"/>
  </r>
  <r>
    <x v="1569"/>
    <x v="9"/>
    <x v="2"/>
    <n v="44.2"/>
    <n v="132.60000000000002"/>
    <x v="58"/>
    <x v="61"/>
    <x v="1"/>
    <x v="2"/>
    <x v="2"/>
    <x v="0"/>
    <x v="3"/>
    <n v="4"/>
    <x v="8"/>
    <x v="1"/>
  </r>
  <r>
    <x v="1570"/>
    <x v="5"/>
    <x v="9"/>
    <n v="53.5"/>
    <n v="267.5"/>
    <x v="58"/>
    <x v="57"/>
    <x v="1"/>
    <x v="0"/>
    <x v="0"/>
    <x v="0"/>
    <x v="37"/>
    <n v="2"/>
    <x v="8"/>
    <x v="1"/>
  </r>
  <r>
    <x v="1571"/>
    <x v="6"/>
    <x v="1"/>
    <n v="72.2"/>
    <n v="144.4"/>
    <x v="58"/>
    <x v="59"/>
    <x v="1"/>
    <x v="0"/>
    <x v="2"/>
    <x v="0"/>
    <x v="25"/>
    <n v="1"/>
    <x v="8"/>
    <x v="1"/>
  </r>
  <r>
    <x v="1572"/>
    <x v="6"/>
    <x v="12"/>
    <n v="62.4"/>
    <n v="249.6"/>
    <x v="58"/>
    <x v="62"/>
    <x v="2"/>
    <x v="0"/>
    <x v="1"/>
    <x v="0"/>
    <x v="23"/>
    <n v="3"/>
    <x v="8"/>
    <x v="2"/>
  </r>
  <r>
    <x v="1573"/>
    <x v="10"/>
    <x v="9"/>
    <n v="24.7"/>
    <n v="123.5"/>
    <x v="58"/>
    <x v="59"/>
    <x v="2"/>
    <x v="0"/>
    <x v="0"/>
    <x v="0"/>
    <x v="6"/>
    <n v="1"/>
    <x v="8"/>
    <x v="2"/>
  </r>
  <r>
    <x v="1574"/>
    <x v="1"/>
    <x v="9"/>
    <n v="61.7"/>
    <n v="308.5"/>
    <x v="58"/>
    <x v="57"/>
    <x v="2"/>
    <x v="2"/>
    <x v="0"/>
    <x v="0"/>
    <x v="8"/>
    <n v="2"/>
    <x v="8"/>
    <x v="2"/>
  </r>
  <r>
    <x v="1575"/>
    <x v="8"/>
    <x v="9"/>
    <n v="18.2"/>
    <n v="91"/>
    <x v="58"/>
    <x v="57"/>
    <x v="2"/>
    <x v="3"/>
    <x v="0"/>
    <x v="0"/>
    <x v="8"/>
    <n v="2"/>
    <x v="8"/>
    <x v="2"/>
  </r>
  <r>
    <x v="1576"/>
    <x v="10"/>
    <x v="12"/>
    <n v="37.200000000000003"/>
    <n v="148.80000000000001"/>
    <x v="58"/>
    <x v="66"/>
    <x v="2"/>
    <x v="0"/>
    <x v="0"/>
    <x v="0"/>
    <x v="8"/>
    <n v="6"/>
    <x v="8"/>
    <x v="2"/>
  </r>
  <r>
    <x v="1577"/>
    <x v="9"/>
    <x v="2"/>
    <n v="53.5"/>
    <n v="160.5"/>
    <x v="58"/>
    <x v="57"/>
    <x v="2"/>
    <x v="1"/>
    <x v="2"/>
    <x v="0"/>
    <x v="9"/>
    <n v="2"/>
    <x v="8"/>
    <x v="2"/>
  </r>
  <r>
    <x v="1578"/>
    <x v="8"/>
    <x v="2"/>
    <n v="43.6"/>
    <n v="130.80000000000001"/>
    <x v="58"/>
    <x v="58"/>
    <x v="2"/>
    <x v="0"/>
    <x v="0"/>
    <x v="0"/>
    <x v="9"/>
    <n v="0"/>
    <x v="8"/>
    <x v="2"/>
  </r>
  <r>
    <x v="1579"/>
    <x v="1"/>
    <x v="7"/>
    <n v="135"/>
    <n v="1350"/>
    <x v="58"/>
    <x v="57"/>
    <x v="2"/>
    <x v="0"/>
    <x v="2"/>
    <x v="0"/>
    <x v="9"/>
    <n v="2"/>
    <x v="8"/>
    <x v="2"/>
  </r>
  <r>
    <x v="1580"/>
    <x v="8"/>
    <x v="9"/>
    <n v="38.5"/>
    <n v="192.5"/>
    <x v="58"/>
    <x v="58"/>
    <x v="1"/>
    <x v="4"/>
    <x v="2"/>
    <x v="0"/>
    <x v="10"/>
    <n v="0"/>
    <x v="8"/>
    <x v="1"/>
  </r>
  <r>
    <x v="1581"/>
    <x v="9"/>
    <x v="1"/>
    <n v="24"/>
    <n v="48"/>
    <x v="58"/>
    <x v="63"/>
    <x v="2"/>
    <x v="0"/>
    <x v="0"/>
    <x v="0"/>
    <x v="11"/>
    <n v="5"/>
    <x v="8"/>
    <x v="2"/>
  </r>
  <r>
    <x v="1582"/>
    <x v="4"/>
    <x v="2"/>
    <n v="28.2"/>
    <n v="84.6"/>
    <x v="58"/>
    <x v="57"/>
    <x v="1"/>
    <x v="0"/>
    <x v="3"/>
    <x v="0"/>
    <x v="18"/>
    <n v="2"/>
    <x v="8"/>
    <x v="1"/>
  </r>
  <r>
    <x v="1583"/>
    <x v="7"/>
    <x v="2"/>
    <n v="37.4"/>
    <n v="112.19999999999999"/>
    <x v="58"/>
    <x v="59"/>
    <x v="2"/>
    <x v="3"/>
    <x v="0"/>
    <x v="0"/>
    <x v="1"/>
    <n v="1"/>
    <x v="8"/>
    <x v="2"/>
  </r>
  <r>
    <x v="1584"/>
    <x v="6"/>
    <x v="2"/>
    <n v="53.5"/>
    <n v="160.5"/>
    <x v="58"/>
    <x v="62"/>
    <x v="0"/>
    <x v="4"/>
    <x v="4"/>
    <x v="0"/>
    <x v="1"/>
    <n v="3"/>
    <x v="8"/>
    <x v="0"/>
  </r>
  <r>
    <x v="1585"/>
    <x v="11"/>
    <x v="9"/>
    <n v="36.200000000000003"/>
    <n v="181"/>
    <x v="58"/>
    <x v="59"/>
    <x v="1"/>
    <x v="1"/>
    <x v="2"/>
    <x v="0"/>
    <x v="33"/>
    <n v="1"/>
    <x v="8"/>
    <x v="1"/>
  </r>
  <r>
    <x v="1586"/>
    <x v="0"/>
    <x v="8"/>
    <n v="31.9"/>
    <n v="255.2"/>
    <x v="58"/>
    <x v="59"/>
    <x v="2"/>
    <x v="4"/>
    <x v="0"/>
    <x v="0"/>
    <x v="3"/>
    <n v="1"/>
    <x v="8"/>
    <x v="2"/>
  </r>
  <r>
    <x v="1587"/>
    <x v="8"/>
    <x v="2"/>
    <n v="21.3"/>
    <n v="63.900000000000006"/>
    <x v="58"/>
    <x v="59"/>
    <x v="1"/>
    <x v="0"/>
    <x v="2"/>
    <x v="0"/>
    <x v="3"/>
    <n v="1"/>
    <x v="8"/>
    <x v="1"/>
  </r>
  <r>
    <x v="1588"/>
    <x v="8"/>
    <x v="0"/>
    <n v="36.299999999999997"/>
    <n v="36.299999999999997"/>
    <x v="58"/>
    <x v="57"/>
    <x v="3"/>
    <x v="4"/>
    <x v="0"/>
    <x v="0"/>
    <x v="3"/>
    <n v="2"/>
    <x v="8"/>
    <x v="3"/>
  </r>
  <r>
    <x v="1589"/>
    <x v="6"/>
    <x v="2"/>
    <n v="110.5"/>
    <n v="331.5"/>
    <x v="58"/>
    <x v="59"/>
    <x v="2"/>
    <x v="0"/>
    <x v="3"/>
    <x v="0"/>
    <x v="3"/>
    <n v="1"/>
    <x v="8"/>
    <x v="2"/>
  </r>
  <r>
    <x v="1590"/>
    <x v="10"/>
    <x v="3"/>
    <n v="32.6"/>
    <n v="228.20000000000002"/>
    <x v="58"/>
    <x v="57"/>
    <x v="2"/>
    <x v="0"/>
    <x v="1"/>
    <x v="0"/>
    <x v="3"/>
    <n v="2"/>
    <x v="8"/>
    <x v="2"/>
  </r>
  <r>
    <x v="1591"/>
    <x v="5"/>
    <x v="2"/>
    <n v="55.6"/>
    <n v="166.8"/>
    <x v="59"/>
    <x v="67"/>
    <x v="2"/>
    <x v="0"/>
    <x v="0"/>
    <x v="0"/>
    <x v="3"/>
    <n v="13"/>
    <x v="8"/>
    <x v="2"/>
  </r>
  <r>
    <x v="1592"/>
    <x v="1"/>
    <x v="12"/>
    <n v="38"/>
    <n v="152"/>
    <x v="59"/>
    <x v="57"/>
    <x v="2"/>
    <x v="3"/>
    <x v="2"/>
    <x v="0"/>
    <x v="5"/>
    <n v="1"/>
    <x v="8"/>
    <x v="2"/>
  </r>
  <r>
    <x v="1593"/>
    <x v="10"/>
    <x v="1"/>
    <n v="51.8"/>
    <n v="103.6"/>
    <x v="59"/>
    <x v="68"/>
    <x v="1"/>
    <x v="1"/>
    <x v="4"/>
    <x v="0"/>
    <x v="6"/>
    <n v="6"/>
    <x v="8"/>
    <x v="1"/>
  </r>
  <r>
    <x v="1594"/>
    <x v="11"/>
    <x v="8"/>
    <n v="28.7"/>
    <n v="229.6"/>
    <x v="59"/>
    <x v="66"/>
    <x v="2"/>
    <x v="0"/>
    <x v="0"/>
    <x v="0"/>
    <x v="6"/>
    <n v="5"/>
    <x v="8"/>
    <x v="2"/>
  </r>
  <r>
    <x v="1595"/>
    <x v="6"/>
    <x v="4"/>
    <n v="52.2"/>
    <n v="626.40000000000009"/>
    <x v="59"/>
    <x v="59"/>
    <x v="1"/>
    <x v="0"/>
    <x v="1"/>
    <x v="0"/>
    <x v="6"/>
    <n v="0"/>
    <x v="8"/>
    <x v="1"/>
  </r>
  <r>
    <x v="1596"/>
    <x v="1"/>
    <x v="1"/>
    <n v="68.2"/>
    <n v="136.4"/>
    <x v="59"/>
    <x v="57"/>
    <x v="0"/>
    <x v="2"/>
    <x v="0"/>
    <x v="0"/>
    <x v="7"/>
    <n v="1"/>
    <x v="8"/>
    <x v="0"/>
  </r>
  <r>
    <x v="1597"/>
    <x v="0"/>
    <x v="2"/>
    <n v="34"/>
    <n v="102"/>
    <x v="59"/>
    <x v="63"/>
    <x v="2"/>
    <x v="0"/>
    <x v="0"/>
    <x v="0"/>
    <x v="8"/>
    <n v="4"/>
    <x v="8"/>
    <x v="2"/>
  </r>
  <r>
    <x v="1598"/>
    <x v="8"/>
    <x v="2"/>
    <n v="19.100000000000001"/>
    <n v="57.300000000000004"/>
    <x v="59"/>
    <x v="57"/>
    <x v="2"/>
    <x v="4"/>
    <x v="0"/>
    <x v="0"/>
    <x v="8"/>
    <n v="1"/>
    <x v="8"/>
    <x v="2"/>
  </r>
  <r>
    <x v="1599"/>
    <x v="5"/>
    <x v="8"/>
    <n v="34"/>
    <n v="272"/>
    <x v="59"/>
    <x v="60"/>
    <x v="2"/>
    <x v="4"/>
    <x v="0"/>
    <x v="0"/>
    <x v="8"/>
    <n v="8"/>
    <x v="8"/>
    <x v="2"/>
  </r>
  <r>
    <x v="1600"/>
    <x v="12"/>
    <x v="1"/>
    <n v="109.1"/>
    <n v="218.2"/>
    <x v="59"/>
    <x v="62"/>
    <x v="1"/>
    <x v="0"/>
    <x v="2"/>
    <x v="0"/>
    <x v="8"/>
    <n v="2"/>
    <x v="8"/>
    <x v="1"/>
  </r>
  <r>
    <x v="1601"/>
    <x v="18"/>
    <x v="1"/>
    <n v="64.8"/>
    <n v="129.6"/>
    <x v="59"/>
    <x v="62"/>
    <x v="1"/>
    <x v="0"/>
    <x v="2"/>
    <x v="0"/>
    <x v="8"/>
    <n v="2"/>
    <x v="8"/>
    <x v="1"/>
  </r>
  <r>
    <x v="1602"/>
    <x v="10"/>
    <x v="1"/>
    <n v="21.1"/>
    <n v="42.2"/>
    <x v="59"/>
    <x v="59"/>
    <x v="2"/>
    <x v="1"/>
    <x v="0"/>
    <x v="0"/>
    <x v="11"/>
    <n v="0"/>
    <x v="8"/>
    <x v="2"/>
  </r>
  <r>
    <x v="1603"/>
    <x v="0"/>
    <x v="8"/>
    <n v="21.3"/>
    <n v="170.4"/>
    <x v="59"/>
    <x v="62"/>
    <x v="1"/>
    <x v="3"/>
    <x v="1"/>
    <x v="0"/>
    <x v="18"/>
    <n v="2"/>
    <x v="8"/>
    <x v="1"/>
  </r>
  <r>
    <x v="1604"/>
    <x v="9"/>
    <x v="2"/>
    <n v="24.3"/>
    <n v="72.900000000000006"/>
    <x v="59"/>
    <x v="57"/>
    <x v="1"/>
    <x v="1"/>
    <x v="0"/>
    <x v="0"/>
    <x v="19"/>
    <n v="1"/>
    <x v="8"/>
    <x v="1"/>
  </r>
  <r>
    <x v="1605"/>
    <x v="8"/>
    <x v="0"/>
    <n v="43.3"/>
    <n v="43.3"/>
    <x v="59"/>
    <x v="63"/>
    <x v="1"/>
    <x v="1"/>
    <x v="1"/>
    <x v="0"/>
    <x v="13"/>
    <n v="4"/>
    <x v="8"/>
    <x v="1"/>
  </r>
  <r>
    <x v="1606"/>
    <x v="9"/>
    <x v="2"/>
    <n v="41"/>
    <n v="123"/>
    <x v="59"/>
    <x v="57"/>
    <x v="2"/>
    <x v="3"/>
    <x v="4"/>
    <x v="0"/>
    <x v="21"/>
    <n v="1"/>
    <x v="8"/>
    <x v="2"/>
  </r>
  <r>
    <x v="1607"/>
    <x v="16"/>
    <x v="2"/>
    <n v="54.1"/>
    <n v="162.30000000000001"/>
    <x v="59"/>
    <x v="62"/>
    <x v="2"/>
    <x v="4"/>
    <x v="0"/>
    <x v="0"/>
    <x v="21"/>
    <n v="2"/>
    <x v="8"/>
    <x v="2"/>
  </r>
  <r>
    <x v="1608"/>
    <x v="11"/>
    <x v="1"/>
    <n v="39"/>
    <n v="78"/>
    <x v="59"/>
    <x v="57"/>
    <x v="1"/>
    <x v="1"/>
    <x v="2"/>
    <x v="0"/>
    <x v="1"/>
    <n v="1"/>
    <x v="8"/>
    <x v="1"/>
  </r>
  <r>
    <x v="1609"/>
    <x v="8"/>
    <x v="1"/>
    <n v="40.299999999999997"/>
    <n v="80.599999999999994"/>
    <x v="59"/>
    <x v="62"/>
    <x v="1"/>
    <x v="3"/>
    <x v="0"/>
    <x v="0"/>
    <x v="27"/>
    <n v="2"/>
    <x v="8"/>
    <x v="1"/>
  </r>
  <r>
    <x v="1610"/>
    <x v="8"/>
    <x v="2"/>
    <n v="24.1"/>
    <n v="72.300000000000011"/>
    <x v="59"/>
    <x v="57"/>
    <x v="1"/>
    <x v="0"/>
    <x v="2"/>
    <x v="0"/>
    <x v="34"/>
    <n v="1"/>
    <x v="8"/>
    <x v="1"/>
  </r>
  <r>
    <x v="1611"/>
    <x v="6"/>
    <x v="9"/>
    <n v="52.3"/>
    <n v="261.5"/>
    <x v="59"/>
    <x v="57"/>
    <x v="1"/>
    <x v="2"/>
    <x v="0"/>
    <x v="0"/>
    <x v="3"/>
    <n v="1"/>
    <x v="8"/>
    <x v="1"/>
  </r>
  <r>
    <x v="1612"/>
    <x v="12"/>
    <x v="12"/>
    <n v="68.8"/>
    <n v="275.2"/>
    <x v="59"/>
    <x v="63"/>
    <x v="2"/>
    <x v="4"/>
    <x v="2"/>
    <x v="0"/>
    <x v="3"/>
    <n v="4"/>
    <x v="8"/>
    <x v="2"/>
  </r>
  <r>
    <x v="1613"/>
    <x v="2"/>
    <x v="1"/>
    <n v="128.80000000000001"/>
    <n v="257.60000000000002"/>
    <x v="60"/>
    <x v="63"/>
    <x v="2"/>
    <x v="1"/>
    <x v="1"/>
    <x v="0"/>
    <x v="3"/>
    <n v="3"/>
    <x v="9"/>
    <x v="2"/>
  </r>
  <r>
    <x v="1614"/>
    <x v="15"/>
    <x v="9"/>
    <n v="48.2"/>
    <n v="241"/>
    <x v="60"/>
    <x v="61"/>
    <x v="2"/>
    <x v="3"/>
    <x v="0"/>
    <x v="0"/>
    <x v="3"/>
    <n v="2"/>
    <x v="9"/>
    <x v="2"/>
  </r>
  <r>
    <x v="1615"/>
    <x v="10"/>
    <x v="0"/>
    <n v="39.700000000000003"/>
    <n v="39.700000000000003"/>
    <x v="60"/>
    <x v="61"/>
    <x v="2"/>
    <x v="0"/>
    <x v="1"/>
    <x v="0"/>
    <x v="3"/>
    <n v="2"/>
    <x v="9"/>
    <x v="2"/>
  </r>
  <r>
    <x v="1616"/>
    <x v="9"/>
    <x v="0"/>
    <n v="59.7"/>
    <n v="59.7"/>
    <x v="60"/>
    <x v="63"/>
    <x v="2"/>
    <x v="4"/>
    <x v="0"/>
    <x v="0"/>
    <x v="3"/>
    <n v="3"/>
    <x v="9"/>
    <x v="2"/>
  </r>
  <r>
    <x v="1617"/>
    <x v="6"/>
    <x v="0"/>
    <n v="48.3"/>
    <n v="48.3"/>
    <x v="60"/>
    <x v="69"/>
    <x v="3"/>
    <x v="0"/>
    <x v="2"/>
    <x v="0"/>
    <x v="3"/>
    <n v="14"/>
    <x v="9"/>
    <x v="3"/>
  </r>
  <r>
    <x v="1618"/>
    <x v="8"/>
    <x v="2"/>
    <n v="45.5"/>
    <n v="136.5"/>
    <x v="60"/>
    <x v="61"/>
    <x v="1"/>
    <x v="2"/>
    <x v="1"/>
    <x v="0"/>
    <x v="3"/>
    <n v="2"/>
    <x v="9"/>
    <x v="1"/>
  </r>
  <r>
    <x v="1619"/>
    <x v="9"/>
    <x v="6"/>
    <n v="51"/>
    <n v="1377"/>
    <x v="60"/>
    <x v="57"/>
    <x v="2"/>
    <x v="2"/>
    <x v="0"/>
    <x v="0"/>
    <x v="3"/>
    <n v="0"/>
    <x v="9"/>
    <x v="2"/>
  </r>
  <r>
    <x v="1620"/>
    <x v="4"/>
    <x v="13"/>
    <n v="20.399999999999999"/>
    <n v="122.39999999999999"/>
    <x v="60"/>
    <x v="62"/>
    <x v="1"/>
    <x v="2"/>
    <x v="0"/>
    <x v="0"/>
    <x v="3"/>
    <n v="1"/>
    <x v="9"/>
    <x v="1"/>
  </r>
  <r>
    <x v="1621"/>
    <x v="10"/>
    <x v="1"/>
    <n v="30.4"/>
    <n v="60.8"/>
    <x v="60"/>
    <x v="61"/>
    <x v="1"/>
    <x v="2"/>
    <x v="0"/>
    <x v="0"/>
    <x v="3"/>
    <n v="2"/>
    <x v="9"/>
    <x v="1"/>
  </r>
  <r>
    <x v="1622"/>
    <x v="7"/>
    <x v="1"/>
    <n v="71.5"/>
    <n v="143"/>
    <x v="60"/>
    <x v="66"/>
    <x v="2"/>
    <x v="0"/>
    <x v="0"/>
    <x v="0"/>
    <x v="3"/>
    <n v="4"/>
    <x v="9"/>
    <x v="2"/>
  </r>
  <r>
    <x v="1623"/>
    <x v="8"/>
    <x v="13"/>
    <n v="18"/>
    <n v="108"/>
    <x v="60"/>
    <x v="62"/>
    <x v="3"/>
    <x v="1"/>
    <x v="2"/>
    <x v="0"/>
    <x v="6"/>
    <n v="1"/>
    <x v="9"/>
    <x v="3"/>
  </r>
  <r>
    <x v="1624"/>
    <x v="15"/>
    <x v="5"/>
    <n v="45.6"/>
    <n v="501.6"/>
    <x v="60"/>
    <x v="62"/>
    <x v="3"/>
    <x v="1"/>
    <x v="1"/>
    <x v="0"/>
    <x v="7"/>
    <n v="1"/>
    <x v="9"/>
    <x v="3"/>
  </r>
  <r>
    <x v="1625"/>
    <x v="9"/>
    <x v="0"/>
    <n v="31.8"/>
    <n v="31.8"/>
    <x v="60"/>
    <x v="66"/>
    <x v="2"/>
    <x v="0"/>
    <x v="2"/>
    <x v="0"/>
    <x v="7"/>
    <n v="4"/>
    <x v="9"/>
    <x v="2"/>
  </r>
  <r>
    <x v="1626"/>
    <x v="8"/>
    <x v="9"/>
    <n v="19.899999999999999"/>
    <n v="99.5"/>
    <x v="60"/>
    <x v="62"/>
    <x v="2"/>
    <x v="1"/>
    <x v="0"/>
    <x v="0"/>
    <x v="7"/>
    <n v="1"/>
    <x v="9"/>
    <x v="2"/>
  </r>
  <r>
    <x v="1627"/>
    <x v="12"/>
    <x v="11"/>
    <n v="52.1"/>
    <n v="468.90000000000003"/>
    <x v="60"/>
    <x v="61"/>
    <x v="1"/>
    <x v="0"/>
    <x v="0"/>
    <x v="0"/>
    <x v="8"/>
    <n v="2"/>
    <x v="9"/>
    <x v="1"/>
  </r>
  <r>
    <x v="1628"/>
    <x v="1"/>
    <x v="3"/>
    <n v="45.9"/>
    <n v="321.3"/>
    <x v="60"/>
    <x v="62"/>
    <x v="1"/>
    <x v="0"/>
    <x v="1"/>
    <x v="0"/>
    <x v="8"/>
    <n v="1"/>
    <x v="9"/>
    <x v="1"/>
  </r>
  <r>
    <x v="1629"/>
    <x v="1"/>
    <x v="7"/>
    <n v="115.9"/>
    <n v="1159"/>
    <x v="60"/>
    <x v="63"/>
    <x v="2"/>
    <x v="1"/>
    <x v="0"/>
    <x v="0"/>
    <x v="8"/>
    <n v="3"/>
    <x v="9"/>
    <x v="2"/>
  </r>
  <r>
    <x v="1630"/>
    <x v="6"/>
    <x v="11"/>
    <n v="86"/>
    <n v="774"/>
    <x v="60"/>
    <x v="68"/>
    <x v="2"/>
    <x v="0"/>
    <x v="1"/>
    <x v="0"/>
    <x v="8"/>
    <n v="5"/>
    <x v="9"/>
    <x v="2"/>
  </r>
  <r>
    <x v="1631"/>
    <x v="7"/>
    <x v="3"/>
    <n v="73.599999999999994"/>
    <n v="515.19999999999993"/>
    <x v="60"/>
    <x v="61"/>
    <x v="2"/>
    <x v="0"/>
    <x v="0"/>
    <x v="0"/>
    <x v="17"/>
    <n v="2"/>
    <x v="9"/>
    <x v="2"/>
  </r>
  <r>
    <x v="1632"/>
    <x v="10"/>
    <x v="2"/>
    <n v="26.7"/>
    <n v="80.099999999999994"/>
    <x v="60"/>
    <x v="66"/>
    <x v="2"/>
    <x v="0"/>
    <x v="0"/>
    <x v="0"/>
    <x v="11"/>
    <n v="4"/>
    <x v="9"/>
    <x v="2"/>
  </r>
  <r>
    <x v="1633"/>
    <x v="8"/>
    <x v="3"/>
    <n v="46.6"/>
    <n v="326.2"/>
    <x v="60"/>
    <x v="61"/>
    <x v="0"/>
    <x v="3"/>
    <x v="0"/>
    <x v="0"/>
    <x v="11"/>
    <n v="2"/>
    <x v="9"/>
    <x v="0"/>
  </r>
  <r>
    <x v="1634"/>
    <x v="3"/>
    <x v="2"/>
    <n v="84.6"/>
    <n v="253.79999999999998"/>
    <x v="60"/>
    <x v="61"/>
    <x v="1"/>
    <x v="4"/>
    <x v="0"/>
    <x v="0"/>
    <x v="11"/>
    <n v="2"/>
    <x v="9"/>
    <x v="1"/>
  </r>
  <r>
    <x v="1635"/>
    <x v="7"/>
    <x v="21"/>
    <n v="41.5"/>
    <n v="581"/>
    <x v="60"/>
    <x v="69"/>
    <x v="1"/>
    <x v="1"/>
    <x v="0"/>
    <x v="0"/>
    <x v="53"/>
    <n v="14"/>
    <x v="9"/>
    <x v="1"/>
  </r>
  <r>
    <x v="1636"/>
    <x v="8"/>
    <x v="0"/>
    <n v="32.799999999999997"/>
    <n v="32.799999999999997"/>
    <x v="60"/>
    <x v="63"/>
    <x v="1"/>
    <x v="0"/>
    <x v="2"/>
    <x v="0"/>
    <x v="30"/>
    <n v="3"/>
    <x v="9"/>
    <x v="1"/>
  </r>
  <r>
    <x v="1637"/>
    <x v="4"/>
    <x v="3"/>
    <n v="46.7"/>
    <n v="326.90000000000003"/>
    <x v="60"/>
    <x v="61"/>
    <x v="3"/>
    <x v="0"/>
    <x v="2"/>
    <x v="0"/>
    <x v="18"/>
    <n v="2"/>
    <x v="9"/>
    <x v="3"/>
  </r>
  <r>
    <x v="1638"/>
    <x v="15"/>
    <x v="3"/>
    <n v="21"/>
    <n v="147"/>
    <x v="60"/>
    <x v="63"/>
    <x v="1"/>
    <x v="2"/>
    <x v="1"/>
    <x v="0"/>
    <x v="21"/>
    <n v="3"/>
    <x v="9"/>
    <x v="1"/>
  </r>
  <r>
    <x v="1639"/>
    <x v="5"/>
    <x v="3"/>
    <n v="29.4"/>
    <n v="205.79999999999998"/>
    <x v="60"/>
    <x v="57"/>
    <x v="1"/>
    <x v="3"/>
    <x v="2"/>
    <x v="0"/>
    <x v="21"/>
    <n v="0"/>
    <x v="9"/>
    <x v="1"/>
  </r>
  <r>
    <x v="1640"/>
    <x v="15"/>
    <x v="1"/>
    <n v="32.299999999999997"/>
    <n v="64.599999999999994"/>
    <x v="60"/>
    <x v="62"/>
    <x v="1"/>
    <x v="0"/>
    <x v="2"/>
    <x v="0"/>
    <x v="21"/>
    <n v="1"/>
    <x v="9"/>
    <x v="1"/>
  </r>
  <r>
    <x v="1641"/>
    <x v="6"/>
    <x v="0"/>
    <n v="42.2"/>
    <n v="42.2"/>
    <x v="61"/>
    <x v="63"/>
    <x v="2"/>
    <x v="0"/>
    <x v="2"/>
    <x v="0"/>
    <x v="21"/>
    <n v="2"/>
    <x v="9"/>
    <x v="2"/>
  </r>
  <r>
    <x v="1642"/>
    <x v="6"/>
    <x v="0"/>
    <n v="53.7"/>
    <n v="53.7"/>
    <x v="61"/>
    <x v="63"/>
    <x v="1"/>
    <x v="1"/>
    <x v="1"/>
    <x v="0"/>
    <x v="1"/>
    <n v="2"/>
    <x v="9"/>
    <x v="1"/>
  </r>
  <r>
    <x v="1643"/>
    <x v="2"/>
    <x v="1"/>
    <n v="123.9"/>
    <n v="247.8"/>
    <x v="61"/>
    <x v="66"/>
    <x v="1"/>
    <x v="2"/>
    <x v="0"/>
    <x v="0"/>
    <x v="1"/>
    <n v="3"/>
    <x v="9"/>
    <x v="1"/>
  </r>
  <r>
    <x v="1644"/>
    <x v="4"/>
    <x v="2"/>
    <n v="35.9"/>
    <n v="107.69999999999999"/>
    <x v="61"/>
    <x v="63"/>
    <x v="1"/>
    <x v="2"/>
    <x v="0"/>
    <x v="0"/>
    <x v="22"/>
    <n v="2"/>
    <x v="9"/>
    <x v="1"/>
  </r>
  <r>
    <x v="1645"/>
    <x v="4"/>
    <x v="1"/>
    <n v="23.6"/>
    <n v="47.2"/>
    <x v="61"/>
    <x v="66"/>
    <x v="1"/>
    <x v="0"/>
    <x v="2"/>
    <x v="0"/>
    <x v="3"/>
    <n v="3"/>
    <x v="9"/>
    <x v="1"/>
  </r>
  <r>
    <x v="1646"/>
    <x v="15"/>
    <x v="36"/>
    <n v="45.7"/>
    <n v="1599.5"/>
    <x v="61"/>
    <x v="61"/>
    <x v="1"/>
    <x v="0"/>
    <x v="1"/>
    <x v="0"/>
    <x v="3"/>
    <n v="1"/>
    <x v="9"/>
    <x v="1"/>
  </r>
  <r>
    <x v="1647"/>
    <x v="6"/>
    <x v="5"/>
    <n v="118.3"/>
    <n v="1301.3"/>
    <x v="61"/>
    <x v="63"/>
    <x v="1"/>
    <x v="4"/>
    <x v="2"/>
    <x v="0"/>
    <x v="3"/>
    <n v="2"/>
    <x v="9"/>
    <x v="1"/>
  </r>
  <r>
    <x v="1648"/>
    <x v="19"/>
    <x v="0"/>
    <n v="36"/>
    <n v="36"/>
    <x v="61"/>
    <x v="61"/>
    <x v="2"/>
    <x v="0"/>
    <x v="1"/>
    <x v="0"/>
    <x v="3"/>
    <n v="1"/>
    <x v="9"/>
    <x v="2"/>
  </r>
  <r>
    <x v="1649"/>
    <x v="8"/>
    <x v="1"/>
    <n v="37.1"/>
    <n v="74.2"/>
    <x v="61"/>
    <x v="66"/>
    <x v="2"/>
    <x v="2"/>
    <x v="0"/>
    <x v="0"/>
    <x v="3"/>
    <n v="3"/>
    <x v="9"/>
    <x v="2"/>
  </r>
  <r>
    <x v="1650"/>
    <x v="18"/>
    <x v="2"/>
    <n v="45.1"/>
    <n v="135.30000000000001"/>
    <x v="61"/>
    <x v="63"/>
    <x v="2"/>
    <x v="1"/>
    <x v="2"/>
    <x v="0"/>
    <x v="3"/>
    <n v="2"/>
    <x v="9"/>
    <x v="2"/>
  </r>
  <r>
    <x v="1651"/>
    <x v="5"/>
    <x v="27"/>
    <n v="37.9"/>
    <n v="606.4"/>
    <x v="61"/>
    <x v="61"/>
    <x v="2"/>
    <x v="3"/>
    <x v="2"/>
    <x v="0"/>
    <x v="3"/>
    <n v="1"/>
    <x v="9"/>
    <x v="2"/>
  </r>
  <r>
    <x v="1652"/>
    <x v="2"/>
    <x v="1"/>
    <n v="121.6"/>
    <n v="243.2"/>
    <x v="61"/>
    <x v="66"/>
    <x v="1"/>
    <x v="3"/>
    <x v="2"/>
    <x v="0"/>
    <x v="3"/>
    <n v="3"/>
    <x v="9"/>
    <x v="1"/>
  </r>
  <r>
    <x v="1653"/>
    <x v="5"/>
    <x v="3"/>
    <n v="38.200000000000003"/>
    <n v="267.40000000000003"/>
    <x v="61"/>
    <x v="66"/>
    <x v="2"/>
    <x v="0"/>
    <x v="0"/>
    <x v="0"/>
    <x v="3"/>
    <n v="3"/>
    <x v="9"/>
    <x v="2"/>
  </r>
  <r>
    <x v="1654"/>
    <x v="17"/>
    <x v="1"/>
    <n v="37.200000000000003"/>
    <n v="74.400000000000006"/>
    <x v="61"/>
    <x v="66"/>
    <x v="1"/>
    <x v="4"/>
    <x v="0"/>
    <x v="0"/>
    <x v="3"/>
    <n v="3"/>
    <x v="9"/>
    <x v="1"/>
  </r>
  <r>
    <x v="1655"/>
    <x v="2"/>
    <x v="12"/>
    <n v="115.7"/>
    <n v="462.8"/>
    <x v="61"/>
    <x v="66"/>
    <x v="2"/>
    <x v="1"/>
    <x v="0"/>
    <x v="0"/>
    <x v="3"/>
    <n v="3"/>
    <x v="9"/>
    <x v="2"/>
  </r>
  <r>
    <x v="1656"/>
    <x v="2"/>
    <x v="13"/>
    <n v="99.4"/>
    <n v="596.40000000000009"/>
    <x v="61"/>
    <x v="66"/>
    <x v="1"/>
    <x v="0"/>
    <x v="2"/>
    <x v="0"/>
    <x v="3"/>
    <n v="3"/>
    <x v="9"/>
    <x v="1"/>
  </r>
  <r>
    <x v="1657"/>
    <x v="11"/>
    <x v="0"/>
    <n v="38.700000000000003"/>
    <n v="38.700000000000003"/>
    <x v="61"/>
    <x v="61"/>
    <x v="2"/>
    <x v="2"/>
    <x v="0"/>
    <x v="0"/>
    <x v="25"/>
    <n v="1"/>
    <x v="9"/>
    <x v="2"/>
  </r>
  <r>
    <x v="1658"/>
    <x v="4"/>
    <x v="1"/>
    <n v="35.5"/>
    <n v="71"/>
    <x v="61"/>
    <x v="66"/>
    <x v="1"/>
    <x v="0"/>
    <x v="2"/>
    <x v="0"/>
    <x v="25"/>
    <n v="3"/>
    <x v="9"/>
    <x v="1"/>
  </r>
  <r>
    <x v="1659"/>
    <x v="2"/>
    <x v="12"/>
    <n v="93.3"/>
    <n v="373.2"/>
    <x v="61"/>
    <x v="66"/>
    <x v="2"/>
    <x v="0"/>
    <x v="2"/>
    <x v="0"/>
    <x v="6"/>
    <n v="3"/>
    <x v="9"/>
    <x v="2"/>
  </r>
  <r>
    <x v="1660"/>
    <x v="16"/>
    <x v="0"/>
    <n v="31.4"/>
    <n v="31.4"/>
    <x v="61"/>
    <x v="70"/>
    <x v="2"/>
    <x v="2"/>
    <x v="2"/>
    <x v="0"/>
    <x v="6"/>
    <n v="5"/>
    <x v="9"/>
    <x v="2"/>
  </r>
  <r>
    <x v="1661"/>
    <x v="1"/>
    <x v="0"/>
    <n v="85.9"/>
    <n v="85.9"/>
    <x v="61"/>
    <x v="66"/>
    <x v="1"/>
    <x v="1"/>
    <x v="0"/>
    <x v="0"/>
    <x v="6"/>
    <n v="3"/>
    <x v="9"/>
    <x v="1"/>
  </r>
  <r>
    <x v="1662"/>
    <x v="6"/>
    <x v="8"/>
    <n v="41.7"/>
    <n v="333.6"/>
    <x v="61"/>
    <x v="71"/>
    <x v="1"/>
    <x v="0"/>
    <x v="2"/>
    <x v="0"/>
    <x v="7"/>
    <n v="8"/>
    <x v="9"/>
    <x v="1"/>
  </r>
  <r>
    <x v="1663"/>
    <x v="8"/>
    <x v="12"/>
    <n v="31.5"/>
    <n v="126"/>
    <x v="61"/>
    <x v="61"/>
    <x v="2"/>
    <x v="0"/>
    <x v="0"/>
    <x v="0"/>
    <x v="7"/>
    <n v="1"/>
    <x v="9"/>
    <x v="2"/>
  </r>
  <r>
    <x v="1664"/>
    <x v="8"/>
    <x v="1"/>
    <n v="36.299999999999997"/>
    <n v="72.599999999999994"/>
    <x v="61"/>
    <x v="61"/>
    <x v="2"/>
    <x v="0"/>
    <x v="4"/>
    <x v="0"/>
    <x v="8"/>
    <n v="1"/>
    <x v="9"/>
    <x v="2"/>
  </r>
  <r>
    <x v="1665"/>
    <x v="8"/>
    <x v="2"/>
    <n v="33.4"/>
    <n v="100.19999999999999"/>
    <x v="61"/>
    <x v="61"/>
    <x v="2"/>
    <x v="3"/>
    <x v="0"/>
    <x v="0"/>
    <x v="17"/>
    <n v="1"/>
    <x v="9"/>
    <x v="2"/>
  </r>
  <r>
    <x v="1666"/>
    <x v="2"/>
    <x v="2"/>
    <n v="65.2"/>
    <n v="195.60000000000002"/>
    <x v="61"/>
    <x v="61"/>
    <x v="2"/>
    <x v="2"/>
    <x v="2"/>
    <x v="0"/>
    <x v="26"/>
    <n v="1"/>
    <x v="9"/>
    <x v="2"/>
  </r>
  <r>
    <x v="1667"/>
    <x v="8"/>
    <x v="11"/>
    <n v="65.5"/>
    <n v="589.5"/>
    <x v="61"/>
    <x v="66"/>
    <x v="2"/>
    <x v="0"/>
    <x v="2"/>
    <x v="0"/>
    <x v="9"/>
    <n v="3"/>
    <x v="9"/>
    <x v="2"/>
  </r>
  <r>
    <x v="1668"/>
    <x v="6"/>
    <x v="2"/>
    <n v="52.8"/>
    <n v="158.39999999999998"/>
    <x v="61"/>
    <x v="66"/>
    <x v="1"/>
    <x v="2"/>
    <x v="0"/>
    <x v="0"/>
    <x v="9"/>
    <n v="3"/>
    <x v="9"/>
    <x v="1"/>
  </r>
  <r>
    <x v="1669"/>
    <x v="9"/>
    <x v="9"/>
    <n v="24"/>
    <n v="120"/>
    <x v="61"/>
    <x v="68"/>
    <x v="1"/>
    <x v="0"/>
    <x v="1"/>
    <x v="0"/>
    <x v="11"/>
    <n v="4"/>
    <x v="9"/>
    <x v="1"/>
  </r>
  <r>
    <x v="1670"/>
    <x v="3"/>
    <x v="2"/>
    <n v="51.2"/>
    <n v="153.60000000000002"/>
    <x v="61"/>
    <x v="61"/>
    <x v="2"/>
    <x v="0"/>
    <x v="0"/>
    <x v="0"/>
    <x v="32"/>
    <n v="1"/>
    <x v="9"/>
    <x v="2"/>
  </r>
  <r>
    <x v="1671"/>
    <x v="5"/>
    <x v="2"/>
    <n v="28.3"/>
    <n v="84.9"/>
    <x v="61"/>
    <x v="63"/>
    <x v="1"/>
    <x v="4"/>
    <x v="0"/>
    <x v="0"/>
    <x v="19"/>
    <n v="2"/>
    <x v="9"/>
    <x v="1"/>
  </r>
  <r>
    <x v="1672"/>
    <x v="6"/>
    <x v="2"/>
    <n v="42.3"/>
    <n v="126.89999999999999"/>
    <x v="61"/>
    <x v="62"/>
    <x v="2"/>
    <x v="2"/>
    <x v="1"/>
    <x v="0"/>
    <x v="19"/>
    <n v="0"/>
    <x v="9"/>
    <x v="2"/>
  </r>
  <r>
    <x v="1673"/>
    <x v="2"/>
    <x v="8"/>
    <n v="163.30000000000001"/>
    <n v="1306.4000000000001"/>
    <x v="62"/>
    <x v="63"/>
    <x v="2"/>
    <x v="1"/>
    <x v="0"/>
    <x v="0"/>
    <x v="13"/>
    <n v="1"/>
    <x v="9"/>
    <x v="2"/>
  </r>
  <r>
    <x v="1674"/>
    <x v="6"/>
    <x v="3"/>
    <n v="47.3"/>
    <n v="331.09999999999997"/>
    <x v="62"/>
    <x v="68"/>
    <x v="2"/>
    <x v="4"/>
    <x v="1"/>
    <x v="0"/>
    <x v="21"/>
    <n v="3"/>
    <x v="9"/>
    <x v="2"/>
  </r>
  <r>
    <x v="1675"/>
    <x v="8"/>
    <x v="27"/>
    <n v="27.3"/>
    <n v="436.8"/>
    <x v="62"/>
    <x v="63"/>
    <x v="2"/>
    <x v="2"/>
    <x v="0"/>
    <x v="0"/>
    <x v="21"/>
    <n v="1"/>
    <x v="9"/>
    <x v="2"/>
  </r>
  <r>
    <x v="1676"/>
    <x v="10"/>
    <x v="13"/>
    <n v="34.9"/>
    <n v="209.39999999999998"/>
    <x v="62"/>
    <x v="72"/>
    <x v="2"/>
    <x v="0"/>
    <x v="0"/>
    <x v="0"/>
    <x v="21"/>
    <n v="11"/>
    <x v="9"/>
    <x v="2"/>
  </r>
  <r>
    <x v="1677"/>
    <x v="6"/>
    <x v="1"/>
    <n v="53.9"/>
    <n v="107.8"/>
    <x v="62"/>
    <x v="68"/>
    <x v="3"/>
    <x v="0"/>
    <x v="4"/>
    <x v="0"/>
    <x v="1"/>
    <n v="3"/>
    <x v="9"/>
    <x v="3"/>
  </r>
  <r>
    <x v="1678"/>
    <x v="2"/>
    <x v="1"/>
    <n v="87.2"/>
    <n v="174.4"/>
    <x v="62"/>
    <x v="63"/>
    <x v="2"/>
    <x v="0"/>
    <x v="1"/>
    <x v="0"/>
    <x v="1"/>
    <n v="1"/>
    <x v="9"/>
    <x v="2"/>
  </r>
  <r>
    <x v="1679"/>
    <x v="15"/>
    <x v="0"/>
    <n v="58.8"/>
    <n v="58.8"/>
    <x v="62"/>
    <x v="66"/>
    <x v="2"/>
    <x v="2"/>
    <x v="0"/>
    <x v="0"/>
    <x v="44"/>
    <n v="2"/>
    <x v="9"/>
    <x v="2"/>
  </r>
  <r>
    <x v="1680"/>
    <x v="2"/>
    <x v="3"/>
    <n v="125.5"/>
    <n v="878.5"/>
    <x v="62"/>
    <x v="63"/>
    <x v="1"/>
    <x v="2"/>
    <x v="4"/>
    <x v="0"/>
    <x v="22"/>
    <n v="1"/>
    <x v="9"/>
    <x v="1"/>
  </r>
  <r>
    <x v="1681"/>
    <x v="1"/>
    <x v="12"/>
    <n v="124.6"/>
    <n v="498.4"/>
    <x v="62"/>
    <x v="66"/>
    <x v="2"/>
    <x v="0"/>
    <x v="1"/>
    <x v="0"/>
    <x v="22"/>
    <n v="2"/>
    <x v="9"/>
    <x v="2"/>
  </r>
  <r>
    <x v="1682"/>
    <x v="1"/>
    <x v="3"/>
    <n v="39.9"/>
    <n v="279.3"/>
    <x v="62"/>
    <x v="63"/>
    <x v="1"/>
    <x v="2"/>
    <x v="1"/>
    <x v="0"/>
    <x v="3"/>
    <n v="1"/>
    <x v="9"/>
    <x v="1"/>
  </r>
  <r>
    <x v="1683"/>
    <x v="6"/>
    <x v="0"/>
    <n v="94.6"/>
    <n v="94.6"/>
    <x v="62"/>
    <x v="73"/>
    <x v="2"/>
    <x v="0"/>
    <x v="1"/>
    <x v="0"/>
    <x v="3"/>
    <n v="14"/>
    <x v="9"/>
    <x v="2"/>
  </r>
  <r>
    <x v="1684"/>
    <x v="2"/>
    <x v="1"/>
    <n v="149.6"/>
    <n v="299.2"/>
    <x v="62"/>
    <x v="63"/>
    <x v="2"/>
    <x v="0"/>
    <x v="0"/>
    <x v="0"/>
    <x v="3"/>
    <n v="1"/>
    <x v="9"/>
    <x v="2"/>
  </r>
  <r>
    <x v="1685"/>
    <x v="8"/>
    <x v="0"/>
    <n v="52.2"/>
    <n v="52.2"/>
    <x v="62"/>
    <x v="63"/>
    <x v="0"/>
    <x v="1"/>
    <x v="0"/>
    <x v="0"/>
    <x v="3"/>
    <n v="1"/>
    <x v="9"/>
    <x v="0"/>
  </r>
  <r>
    <x v="1686"/>
    <x v="6"/>
    <x v="1"/>
    <n v="96.5"/>
    <n v="193"/>
    <x v="62"/>
    <x v="63"/>
    <x v="2"/>
    <x v="1"/>
    <x v="1"/>
    <x v="0"/>
    <x v="3"/>
    <n v="1"/>
    <x v="9"/>
    <x v="2"/>
  </r>
  <r>
    <x v="1687"/>
    <x v="8"/>
    <x v="1"/>
    <n v="79.8"/>
    <n v="159.6"/>
    <x v="62"/>
    <x v="66"/>
    <x v="2"/>
    <x v="0"/>
    <x v="1"/>
    <x v="0"/>
    <x v="3"/>
    <n v="2"/>
    <x v="9"/>
    <x v="2"/>
  </r>
  <r>
    <x v="1688"/>
    <x v="8"/>
    <x v="2"/>
    <n v="35.6"/>
    <n v="106.80000000000001"/>
    <x v="62"/>
    <x v="63"/>
    <x v="2"/>
    <x v="2"/>
    <x v="0"/>
    <x v="0"/>
    <x v="3"/>
    <n v="1"/>
    <x v="9"/>
    <x v="2"/>
  </r>
  <r>
    <x v="1689"/>
    <x v="16"/>
    <x v="0"/>
    <n v="50.2"/>
    <n v="50.2"/>
    <x v="62"/>
    <x v="63"/>
    <x v="2"/>
    <x v="1"/>
    <x v="2"/>
    <x v="0"/>
    <x v="3"/>
    <n v="1"/>
    <x v="9"/>
    <x v="2"/>
  </r>
  <r>
    <x v="1690"/>
    <x v="1"/>
    <x v="2"/>
    <n v="55.3"/>
    <n v="165.89999999999998"/>
    <x v="62"/>
    <x v="68"/>
    <x v="2"/>
    <x v="0"/>
    <x v="4"/>
    <x v="0"/>
    <x v="40"/>
    <n v="3"/>
    <x v="9"/>
    <x v="2"/>
  </r>
  <r>
    <x v="1691"/>
    <x v="6"/>
    <x v="3"/>
    <n v="104.5"/>
    <n v="731.5"/>
    <x v="62"/>
    <x v="70"/>
    <x v="2"/>
    <x v="1"/>
    <x v="0"/>
    <x v="0"/>
    <x v="7"/>
    <n v="4"/>
    <x v="9"/>
    <x v="2"/>
  </r>
  <r>
    <x v="1692"/>
    <x v="6"/>
    <x v="12"/>
    <n v="66.5"/>
    <n v="266"/>
    <x v="62"/>
    <x v="66"/>
    <x v="1"/>
    <x v="1"/>
    <x v="0"/>
    <x v="0"/>
    <x v="7"/>
    <n v="2"/>
    <x v="9"/>
    <x v="1"/>
  </r>
  <r>
    <x v="1693"/>
    <x v="10"/>
    <x v="8"/>
    <n v="38.299999999999997"/>
    <n v="306.39999999999998"/>
    <x v="62"/>
    <x v="63"/>
    <x v="2"/>
    <x v="0"/>
    <x v="0"/>
    <x v="0"/>
    <x v="7"/>
    <n v="1"/>
    <x v="9"/>
    <x v="2"/>
  </r>
  <r>
    <x v="1694"/>
    <x v="6"/>
    <x v="2"/>
    <n v="63.8"/>
    <n v="191.39999999999998"/>
    <x v="62"/>
    <x v="68"/>
    <x v="2"/>
    <x v="1"/>
    <x v="0"/>
    <x v="0"/>
    <x v="8"/>
    <n v="3"/>
    <x v="9"/>
    <x v="2"/>
  </r>
  <r>
    <x v="1695"/>
    <x v="15"/>
    <x v="0"/>
    <n v="21.4"/>
    <n v="21.4"/>
    <x v="62"/>
    <x v="61"/>
    <x v="1"/>
    <x v="4"/>
    <x v="0"/>
    <x v="0"/>
    <x v="8"/>
    <n v="0"/>
    <x v="9"/>
    <x v="1"/>
  </r>
  <r>
    <x v="1696"/>
    <x v="8"/>
    <x v="12"/>
    <n v="44.1"/>
    <n v="176.4"/>
    <x v="62"/>
    <x v="66"/>
    <x v="2"/>
    <x v="2"/>
    <x v="0"/>
    <x v="0"/>
    <x v="8"/>
    <n v="2"/>
    <x v="9"/>
    <x v="2"/>
  </r>
  <r>
    <x v="1697"/>
    <x v="5"/>
    <x v="8"/>
    <n v="57.6"/>
    <n v="460.8"/>
    <x v="62"/>
    <x v="66"/>
    <x v="1"/>
    <x v="1"/>
    <x v="2"/>
    <x v="0"/>
    <x v="8"/>
    <n v="2"/>
    <x v="9"/>
    <x v="1"/>
  </r>
  <r>
    <x v="1698"/>
    <x v="9"/>
    <x v="1"/>
    <n v="20.3"/>
    <n v="40.6"/>
    <x v="62"/>
    <x v="65"/>
    <x v="2"/>
    <x v="3"/>
    <x v="0"/>
    <x v="0"/>
    <x v="8"/>
    <n v="6"/>
    <x v="9"/>
    <x v="2"/>
  </r>
  <r>
    <x v="1699"/>
    <x v="8"/>
    <x v="0"/>
    <n v="22.9"/>
    <n v="22.9"/>
    <x v="62"/>
    <x v="66"/>
    <x v="2"/>
    <x v="2"/>
    <x v="2"/>
    <x v="0"/>
    <x v="8"/>
    <n v="2"/>
    <x v="9"/>
    <x v="2"/>
  </r>
  <r>
    <x v="1700"/>
    <x v="6"/>
    <x v="12"/>
    <n v="105.9"/>
    <n v="423.6"/>
    <x v="62"/>
    <x v="63"/>
    <x v="2"/>
    <x v="1"/>
    <x v="2"/>
    <x v="0"/>
    <x v="17"/>
    <n v="1"/>
    <x v="9"/>
    <x v="2"/>
  </r>
  <r>
    <x v="1701"/>
    <x v="1"/>
    <x v="11"/>
    <n v="37.4"/>
    <n v="336.59999999999997"/>
    <x v="62"/>
    <x v="70"/>
    <x v="1"/>
    <x v="1"/>
    <x v="0"/>
    <x v="0"/>
    <x v="11"/>
    <n v="4"/>
    <x v="9"/>
    <x v="1"/>
  </r>
  <r>
    <x v="1702"/>
    <x v="18"/>
    <x v="1"/>
    <n v="79"/>
    <n v="158"/>
    <x v="62"/>
    <x v="63"/>
    <x v="1"/>
    <x v="2"/>
    <x v="0"/>
    <x v="0"/>
    <x v="28"/>
    <n v="1"/>
    <x v="9"/>
    <x v="1"/>
  </r>
  <r>
    <x v="1703"/>
    <x v="0"/>
    <x v="2"/>
    <n v="19.3"/>
    <n v="57.900000000000006"/>
    <x v="62"/>
    <x v="63"/>
    <x v="2"/>
    <x v="4"/>
    <x v="0"/>
    <x v="0"/>
    <x v="21"/>
    <n v="1"/>
    <x v="9"/>
    <x v="2"/>
  </r>
  <r>
    <x v="1704"/>
    <x v="0"/>
    <x v="0"/>
    <n v="24"/>
    <n v="24"/>
    <x v="62"/>
    <x v="63"/>
    <x v="2"/>
    <x v="1"/>
    <x v="0"/>
    <x v="0"/>
    <x v="1"/>
    <n v="1"/>
    <x v="9"/>
    <x v="2"/>
  </r>
  <r>
    <x v="1705"/>
    <x v="6"/>
    <x v="9"/>
    <n v="71.3"/>
    <n v="356.5"/>
    <x v="62"/>
    <x v="68"/>
    <x v="2"/>
    <x v="2"/>
    <x v="0"/>
    <x v="0"/>
    <x v="2"/>
    <n v="3"/>
    <x v="9"/>
    <x v="2"/>
  </r>
  <r>
    <x v="1706"/>
    <x v="5"/>
    <x v="1"/>
    <n v="166.2"/>
    <n v="332.4"/>
    <x v="62"/>
    <x v="63"/>
    <x v="1"/>
    <x v="0"/>
    <x v="2"/>
    <x v="0"/>
    <x v="50"/>
    <n v="1"/>
    <x v="9"/>
    <x v="1"/>
  </r>
  <r>
    <x v="1707"/>
    <x v="6"/>
    <x v="0"/>
    <n v="81"/>
    <n v="81"/>
    <x v="62"/>
    <x v="63"/>
    <x v="2"/>
    <x v="2"/>
    <x v="1"/>
    <x v="0"/>
    <x v="3"/>
    <n v="1"/>
    <x v="9"/>
    <x v="2"/>
  </r>
  <r>
    <x v="1708"/>
    <x v="10"/>
    <x v="13"/>
    <n v="38.5"/>
    <n v="231"/>
    <x v="62"/>
    <x v="70"/>
    <x v="2"/>
    <x v="0"/>
    <x v="0"/>
    <x v="0"/>
    <x v="3"/>
    <n v="4"/>
    <x v="9"/>
    <x v="2"/>
  </r>
  <r>
    <x v="1709"/>
    <x v="6"/>
    <x v="0"/>
    <n v="86.1"/>
    <n v="86.1"/>
    <x v="62"/>
    <x v="66"/>
    <x v="2"/>
    <x v="3"/>
    <x v="0"/>
    <x v="0"/>
    <x v="3"/>
    <n v="2"/>
    <x v="9"/>
    <x v="2"/>
  </r>
  <r>
    <x v="1710"/>
    <x v="2"/>
    <x v="9"/>
    <n v="51"/>
    <n v="255"/>
    <x v="62"/>
    <x v="63"/>
    <x v="1"/>
    <x v="0"/>
    <x v="1"/>
    <x v="0"/>
    <x v="3"/>
    <n v="1"/>
    <x v="9"/>
    <x v="1"/>
  </r>
  <r>
    <x v="1711"/>
    <x v="3"/>
    <x v="9"/>
    <n v="115.4"/>
    <n v="577"/>
    <x v="62"/>
    <x v="63"/>
    <x v="1"/>
    <x v="0"/>
    <x v="0"/>
    <x v="0"/>
    <x v="3"/>
    <n v="1"/>
    <x v="9"/>
    <x v="1"/>
  </r>
  <r>
    <x v="1712"/>
    <x v="6"/>
    <x v="12"/>
    <n v="176.5"/>
    <n v="706"/>
    <x v="62"/>
    <x v="63"/>
    <x v="2"/>
    <x v="2"/>
    <x v="2"/>
    <x v="0"/>
    <x v="3"/>
    <n v="1"/>
    <x v="9"/>
    <x v="2"/>
  </r>
  <r>
    <x v="1713"/>
    <x v="7"/>
    <x v="2"/>
    <n v="48.9"/>
    <n v="146.69999999999999"/>
    <x v="62"/>
    <x v="63"/>
    <x v="1"/>
    <x v="4"/>
    <x v="0"/>
    <x v="0"/>
    <x v="3"/>
    <n v="1"/>
    <x v="9"/>
    <x v="1"/>
  </r>
  <r>
    <x v="1714"/>
    <x v="8"/>
    <x v="2"/>
    <n v="18.100000000000001"/>
    <n v="54.300000000000004"/>
    <x v="62"/>
    <x v="71"/>
    <x v="2"/>
    <x v="1"/>
    <x v="2"/>
    <x v="0"/>
    <x v="29"/>
    <n v="7"/>
    <x v="9"/>
    <x v="2"/>
  </r>
  <r>
    <x v="1715"/>
    <x v="2"/>
    <x v="1"/>
    <n v="118.5"/>
    <n v="237"/>
    <x v="62"/>
    <x v="68"/>
    <x v="1"/>
    <x v="1"/>
    <x v="2"/>
    <x v="0"/>
    <x v="16"/>
    <n v="3"/>
    <x v="9"/>
    <x v="1"/>
  </r>
  <r>
    <x v="1716"/>
    <x v="15"/>
    <x v="3"/>
    <n v="59.1"/>
    <n v="413.7"/>
    <x v="62"/>
    <x v="63"/>
    <x v="2"/>
    <x v="3"/>
    <x v="0"/>
    <x v="0"/>
    <x v="25"/>
    <n v="1"/>
    <x v="9"/>
    <x v="2"/>
  </r>
  <r>
    <x v="1717"/>
    <x v="4"/>
    <x v="0"/>
    <n v="21.2"/>
    <n v="21.2"/>
    <x v="62"/>
    <x v="63"/>
    <x v="2"/>
    <x v="0"/>
    <x v="1"/>
    <x v="0"/>
    <x v="6"/>
    <n v="1"/>
    <x v="9"/>
    <x v="2"/>
  </r>
  <r>
    <x v="1718"/>
    <x v="6"/>
    <x v="1"/>
    <n v="68.8"/>
    <n v="137.6"/>
    <x v="62"/>
    <x v="60"/>
    <x v="2"/>
    <x v="3"/>
    <x v="2"/>
    <x v="0"/>
    <x v="6"/>
    <n v="5"/>
    <x v="9"/>
    <x v="2"/>
  </r>
  <r>
    <x v="1719"/>
    <x v="6"/>
    <x v="1"/>
    <n v="65.400000000000006"/>
    <n v="130.80000000000001"/>
    <x v="62"/>
    <x v="70"/>
    <x v="2"/>
    <x v="0"/>
    <x v="0"/>
    <x v="0"/>
    <x v="6"/>
    <n v="4"/>
    <x v="9"/>
    <x v="2"/>
  </r>
  <r>
    <x v="1720"/>
    <x v="12"/>
    <x v="9"/>
    <n v="66.3"/>
    <n v="331.5"/>
    <x v="63"/>
    <x v="70"/>
    <x v="2"/>
    <x v="4"/>
    <x v="0"/>
    <x v="0"/>
    <x v="6"/>
    <n v="3"/>
    <x v="9"/>
    <x v="2"/>
  </r>
  <r>
    <x v="1721"/>
    <x v="6"/>
    <x v="2"/>
    <n v="97.5"/>
    <n v="292.5"/>
    <x v="63"/>
    <x v="63"/>
    <x v="1"/>
    <x v="3"/>
    <x v="0"/>
    <x v="0"/>
    <x v="8"/>
    <n v="0"/>
    <x v="9"/>
    <x v="1"/>
  </r>
  <r>
    <x v="1722"/>
    <x v="1"/>
    <x v="1"/>
    <n v="44"/>
    <n v="88"/>
    <x v="63"/>
    <x v="70"/>
    <x v="2"/>
    <x v="1"/>
    <x v="2"/>
    <x v="0"/>
    <x v="8"/>
    <n v="3"/>
    <x v="9"/>
    <x v="2"/>
  </r>
  <r>
    <x v="1723"/>
    <x v="0"/>
    <x v="0"/>
    <n v="21.9"/>
    <n v="21.9"/>
    <x v="63"/>
    <x v="66"/>
    <x v="1"/>
    <x v="0"/>
    <x v="0"/>
    <x v="0"/>
    <x v="8"/>
    <n v="1"/>
    <x v="9"/>
    <x v="1"/>
  </r>
  <r>
    <x v="1724"/>
    <x v="4"/>
    <x v="3"/>
    <n v="21.5"/>
    <n v="150.5"/>
    <x v="63"/>
    <x v="68"/>
    <x v="2"/>
    <x v="1"/>
    <x v="2"/>
    <x v="0"/>
    <x v="9"/>
    <n v="2"/>
    <x v="9"/>
    <x v="2"/>
  </r>
  <r>
    <x v="1725"/>
    <x v="12"/>
    <x v="13"/>
    <n v="133"/>
    <n v="798"/>
    <x v="63"/>
    <x v="66"/>
    <x v="3"/>
    <x v="0"/>
    <x v="2"/>
    <x v="0"/>
    <x v="10"/>
    <n v="1"/>
    <x v="9"/>
    <x v="3"/>
  </r>
  <r>
    <x v="1726"/>
    <x v="8"/>
    <x v="1"/>
    <n v="47.7"/>
    <n v="95.4"/>
    <x v="63"/>
    <x v="60"/>
    <x v="1"/>
    <x v="0"/>
    <x v="2"/>
    <x v="0"/>
    <x v="10"/>
    <n v="4"/>
    <x v="9"/>
    <x v="1"/>
  </r>
  <r>
    <x v="1727"/>
    <x v="16"/>
    <x v="2"/>
    <n v="58.1"/>
    <n v="174.3"/>
    <x v="63"/>
    <x v="66"/>
    <x v="2"/>
    <x v="0"/>
    <x v="0"/>
    <x v="0"/>
    <x v="11"/>
    <n v="1"/>
    <x v="9"/>
    <x v="2"/>
  </r>
  <r>
    <x v="1728"/>
    <x v="12"/>
    <x v="12"/>
    <n v="66.599999999999994"/>
    <n v="266.39999999999998"/>
    <x v="63"/>
    <x v="66"/>
    <x v="0"/>
    <x v="0"/>
    <x v="0"/>
    <x v="0"/>
    <x v="11"/>
    <n v="1"/>
    <x v="9"/>
    <x v="0"/>
  </r>
  <r>
    <x v="1729"/>
    <x v="9"/>
    <x v="0"/>
    <n v="24.1"/>
    <n v="24.1"/>
    <x v="63"/>
    <x v="70"/>
    <x v="1"/>
    <x v="2"/>
    <x v="1"/>
    <x v="0"/>
    <x v="19"/>
    <n v="3"/>
    <x v="9"/>
    <x v="1"/>
  </r>
  <r>
    <x v="1730"/>
    <x v="10"/>
    <x v="9"/>
    <n v="51.5"/>
    <n v="257.5"/>
    <x v="63"/>
    <x v="65"/>
    <x v="2"/>
    <x v="0"/>
    <x v="0"/>
    <x v="0"/>
    <x v="13"/>
    <n v="5"/>
    <x v="9"/>
    <x v="2"/>
  </r>
  <r>
    <x v="1731"/>
    <x v="0"/>
    <x v="5"/>
    <n v="25.8"/>
    <n v="283.8"/>
    <x v="63"/>
    <x v="60"/>
    <x v="2"/>
    <x v="3"/>
    <x v="4"/>
    <x v="0"/>
    <x v="21"/>
    <n v="4"/>
    <x v="9"/>
    <x v="2"/>
  </r>
  <r>
    <x v="1732"/>
    <x v="9"/>
    <x v="12"/>
    <n v="47.7"/>
    <n v="190.8"/>
    <x v="63"/>
    <x v="63"/>
    <x v="2"/>
    <x v="0"/>
    <x v="1"/>
    <x v="0"/>
    <x v="21"/>
    <n v="0"/>
    <x v="9"/>
    <x v="2"/>
  </r>
  <r>
    <x v="1733"/>
    <x v="7"/>
    <x v="9"/>
    <n v="73.599999999999994"/>
    <n v="368"/>
    <x v="63"/>
    <x v="60"/>
    <x v="1"/>
    <x v="1"/>
    <x v="0"/>
    <x v="0"/>
    <x v="21"/>
    <n v="4"/>
    <x v="9"/>
    <x v="1"/>
  </r>
  <r>
    <x v="1734"/>
    <x v="5"/>
    <x v="3"/>
    <n v="91.2"/>
    <n v="638.4"/>
    <x v="63"/>
    <x v="66"/>
    <x v="1"/>
    <x v="1"/>
    <x v="2"/>
    <x v="0"/>
    <x v="21"/>
    <n v="1"/>
    <x v="9"/>
    <x v="1"/>
  </r>
  <r>
    <x v="1735"/>
    <x v="1"/>
    <x v="8"/>
    <n v="36.200000000000003"/>
    <n v="289.60000000000002"/>
    <x v="63"/>
    <x v="63"/>
    <x v="1"/>
    <x v="2"/>
    <x v="2"/>
    <x v="0"/>
    <x v="1"/>
    <n v="0"/>
    <x v="9"/>
    <x v="1"/>
  </r>
  <r>
    <x v="1736"/>
    <x v="9"/>
    <x v="8"/>
    <n v="98"/>
    <n v="784"/>
    <x v="63"/>
    <x v="60"/>
    <x v="2"/>
    <x v="2"/>
    <x v="0"/>
    <x v="0"/>
    <x v="2"/>
    <n v="4"/>
    <x v="9"/>
    <x v="2"/>
  </r>
  <r>
    <x v="1737"/>
    <x v="1"/>
    <x v="8"/>
    <n v="43.6"/>
    <n v="348.8"/>
    <x v="63"/>
    <x v="66"/>
    <x v="2"/>
    <x v="2"/>
    <x v="0"/>
    <x v="0"/>
    <x v="22"/>
    <n v="1"/>
    <x v="9"/>
    <x v="2"/>
  </r>
  <r>
    <x v="1738"/>
    <x v="8"/>
    <x v="7"/>
    <n v="37.799999999999997"/>
    <n v="378"/>
    <x v="63"/>
    <x v="63"/>
    <x v="3"/>
    <x v="0"/>
    <x v="0"/>
    <x v="0"/>
    <x v="50"/>
    <n v="0"/>
    <x v="9"/>
    <x v="3"/>
  </r>
  <r>
    <x v="1739"/>
    <x v="17"/>
    <x v="9"/>
    <n v="63.7"/>
    <n v="318.5"/>
    <x v="63"/>
    <x v="70"/>
    <x v="2"/>
    <x v="2"/>
    <x v="1"/>
    <x v="0"/>
    <x v="3"/>
    <n v="3"/>
    <x v="9"/>
    <x v="2"/>
  </r>
  <r>
    <x v="1740"/>
    <x v="5"/>
    <x v="11"/>
    <n v="62.9"/>
    <n v="566.1"/>
    <x v="63"/>
    <x v="65"/>
    <x v="1"/>
    <x v="3"/>
    <x v="2"/>
    <x v="0"/>
    <x v="3"/>
    <n v="5"/>
    <x v="9"/>
    <x v="1"/>
  </r>
  <r>
    <x v="1741"/>
    <x v="6"/>
    <x v="3"/>
    <n v="61.7"/>
    <n v="431.90000000000003"/>
    <x v="63"/>
    <x v="70"/>
    <x v="2"/>
    <x v="2"/>
    <x v="2"/>
    <x v="0"/>
    <x v="3"/>
    <n v="3"/>
    <x v="9"/>
    <x v="2"/>
  </r>
  <r>
    <x v="1742"/>
    <x v="18"/>
    <x v="21"/>
    <n v="36.5"/>
    <n v="511"/>
    <x v="63"/>
    <x v="66"/>
    <x v="1"/>
    <x v="0"/>
    <x v="2"/>
    <x v="0"/>
    <x v="3"/>
    <n v="1"/>
    <x v="9"/>
    <x v="1"/>
  </r>
  <r>
    <x v="1743"/>
    <x v="11"/>
    <x v="2"/>
    <n v="98.6"/>
    <n v="295.79999999999995"/>
    <x v="63"/>
    <x v="70"/>
    <x v="3"/>
    <x v="0"/>
    <x v="4"/>
    <x v="0"/>
    <x v="3"/>
    <n v="3"/>
    <x v="9"/>
    <x v="3"/>
  </r>
  <r>
    <x v="1744"/>
    <x v="8"/>
    <x v="1"/>
    <n v="19.2"/>
    <n v="38.4"/>
    <x v="63"/>
    <x v="72"/>
    <x v="1"/>
    <x v="0"/>
    <x v="0"/>
    <x v="0"/>
    <x v="3"/>
    <n v="10"/>
    <x v="9"/>
    <x v="1"/>
  </r>
  <r>
    <x v="1745"/>
    <x v="3"/>
    <x v="13"/>
    <n v="55.6"/>
    <n v="333.6"/>
    <x v="63"/>
    <x v="60"/>
    <x v="2"/>
    <x v="0"/>
    <x v="2"/>
    <x v="0"/>
    <x v="3"/>
    <n v="4"/>
    <x v="9"/>
    <x v="2"/>
  </r>
  <r>
    <x v="1746"/>
    <x v="5"/>
    <x v="13"/>
    <n v="56.4"/>
    <n v="338.4"/>
    <x v="63"/>
    <x v="66"/>
    <x v="2"/>
    <x v="1"/>
    <x v="0"/>
    <x v="0"/>
    <x v="3"/>
    <n v="1"/>
    <x v="9"/>
    <x v="2"/>
  </r>
  <r>
    <x v="1747"/>
    <x v="4"/>
    <x v="8"/>
    <n v="43.1"/>
    <n v="344.8"/>
    <x v="63"/>
    <x v="60"/>
    <x v="2"/>
    <x v="4"/>
    <x v="0"/>
    <x v="0"/>
    <x v="3"/>
    <n v="4"/>
    <x v="9"/>
    <x v="2"/>
  </r>
  <r>
    <x v="1748"/>
    <x v="1"/>
    <x v="1"/>
    <n v="77.3"/>
    <n v="154.6"/>
    <x v="63"/>
    <x v="68"/>
    <x v="1"/>
    <x v="0"/>
    <x v="0"/>
    <x v="0"/>
    <x v="6"/>
    <n v="2"/>
    <x v="9"/>
    <x v="1"/>
  </r>
  <r>
    <x v="1749"/>
    <x v="9"/>
    <x v="8"/>
    <n v="38.299999999999997"/>
    <n v="306.39999999999998"/>
    <x v="63"/>
    <x v="66"/>
    <x v="1"/>
    <x v="0"/>
    <x v="0"/>
    <x v="0"/>
    <x v="7"/>
    <n v="1"/>
    <x v="9"/>
    <x v="1"/>
  </r>
  <r>
    <x v="1750"/>
    <x v="0"/>
    <x v="3"/>
    <n v="16.8"/>
    <n v="117.60000000000001"/>
    <x v="63"/>
    <x v="70"/>
    <x v="1"/>
    <x v="2"/>
    <x v="1"/>
    <x v="0"/>
    <x v="8"/>
    <n v="3"/>
    <x v="9"/>
    <x v="1"/>
  </r>
  <r>
    <x v="1751"/>
    <x v="2"/>
    <x v="2"/>
    <n v="63.2"/>
    <n v="189.60000000000002"/>
    <x v="63"/>
    <x v="66"/>
    <x v="2"/>
    <x v="0"/>
    <x v="2"/>
    <x v="0"/>
    <x v="8"/>
    <n v="1"/>
    <x v="9"/>
    <x v="2"/>
  </r>
  <r>
    <x v="1752"/>
    <x v="14"/>
    <x v="44"/>
    <n v="39.700000000000003"/>
    <n v="913.1"/>
    <x v="63"/>
    <x v="66"/>
    <x v="1"/>
    <x v="0"/>
    <x v="0"/>
    <x v="0"/>
    <x v="8"/>
    <n v="1"/>
    <x v="9"/>
    <x v="1"/>
  </r>
  <r>
    <x v="1753"/>
    <x v="10"/>
    <x v="2"/>
    <n v="45.8"/>
    <n v="137.39999999999998"/>
    <x v="63"/>
    <x v="66"/>
    <x v="2"/>
    <x v="1"/>
    <x v="2"/>
    <x v="0"/>
    <x v="8"/>
    <n v="1"/>
    <x v="9"/>
    <x v="2"/>
  </r>
  <r>
    <x v="1754"/>
    <x v="0"/>
    <x v="13"/>
    <n v="12.4"/>
    <n v="74.400000000000006"/>
    <x v="63"/>
    <x v="70"/>
    <x v="1"/>
    <x v="0"/>
    <x v="0"/>
    <x v="0"/>
    <x v="8"/>
    <n v="3"/>
    <x v="9"/>
    <x v="1"/>
  </r>
  <r>
    <x v="1755"/>
    <x v="14"/>
    <x v="2"/>
    <n v="50.8"/>
    <n v="152.39999999999998"/>
    <x v="64"/>
    <x v="66"/>
    <x v="2"/>
    <x v="4"/>
    <x v="0"/>
    <x v="0"/>
    <x v="17"/>
    <n v="0"/>
    <x v="9"/>
    <x v="2"/>
  </r>
  <r>
    <x v="1756"/>
    <x v="9"/>
    <x v="0"/>
    <n v="76"/>
    <n v="76"/>
    <x v="64"/>
    <x v="65"/>
    <x v="3"/>
    <x v="2"/>
    <x v="2"/>
    <x v="0"/>
    <x v="17"/>
    <n v="4"/>
    <x v="9"/>
    <x v="3"/>
  </r>
  <r>
    <x v="1757"/>
    <x v="1"/>
    <x v="1"/>
    <n v="51.9"/>
    <n v="103.8"/>
    <x v="64"/>
    <x v="68"/>
    <x v="1"/>
    <x v="1"/>
    <x v="2"/>
    <x v="0"/>
    <x v="26"/>
    <n v="1"/>
    <x v="9"/>
    <x v="1"/>
  </r>
  <r>
    <x v="1758"/>
    <x v="2"/>
    <x v="1"/>
    <n v="93.4"/>
    <n v="186.8"/>
    <x v="64"/>
    <x v="64"/>
    <x v="1"/>
    <x v="0"/>
    <x v="3"/>
    <x v="0"/>
    <x v="11"/>
    <n v="7"/>
    <x v="9"/>
    <x v="1"/>
  </r>
  <r>
    <x v="1759"/>
    <x v="7"/>
    <x v="13"/>
    <n v="30.8"/>
    <n v="184.8"/>
    <x v="64"/>
    <x v="60"/>
    <x v="2"/>
    <x v="1"/>
    <x v="0"/>
    <x v="0"/>
    <x v="11"/>
    <n v="3"/>
    <x v="9"/>
    <x v="2"/>
  </r>
  <r>
    <x v="1760"/>
    <x v="2"/>
    <x v="0"/>
    <n v="143.19999999999999"/>
    <n v="143.19999999999999"/>
    <x v="64"/>
    <x v="60"/>
    <x v="1"/>
    <x v="2"/>
    <x v="0"/>
    <x v="0"/>
    <x v="11"/>
    <n v="3"/>
    <x v="9"/>
    <x v="1"/>
  </r>
  <r>
    <x v="1761"/>
    <x v="6"/>
    <x v="5"/>
    <n v="40.4"/>
    <n v="444.4"/>
    <x v="64"/>
    <x v="70"/>
    <x v="1"/>
    <x v="2"/>
    <x v="2"/>
    <x v="0"/>
    <x v="18"/>
    <n v="2"/>
    <x v="9"/>
    <x v="1"/>
  </r>
  <r>
    <x v="1762"/>
    <x v="2"/>
    <x v="10"/>
    <n v="131.5"/>
    <n v="2498.5"/>
    <x v="64"/>
    <x v="70"/>
    <x v="1"/>
    <x v="1"/>
    <x v="1"/>
    <x v="0"/>
    <x v="18"/>
    <n v="2"/>
    <x v="9"/>
    <x v="1"/>
  </r>
  <r>
    <x v="1763"/>
    <x v="18"/>
    <x v="3"/>
    <n v="61.6"/>
    <n v="431.2"/>
    <x v="64"/>
    <x v="68"/>
    <x v="1"/>
    <x v="2"/>
    <x v="0"/>
    <x v="0"/>
    <x v="21"/>
    <n v="1"/>
    <x v="9"/>
    <x v="1"/>
  </r>
  <r>
    <x v="1764"/>
    <x v="9"/>
    <x v="9"/>
    <n v="32.700000000000003"/>
    <n v="163.5"/>
    <x v="64"/>
    <x v="70"/>
    <x v="1"/>
    <x v="2"/>
    <x v="0"/>
    <x v="0"/>
    <x v="1"/>
    <n v="2"/>
    <x v="9"/>
    <x v="1"/>
  </r>
  <r>
    <x v="1765"/>
    <x v="0"/>
    <x v="7"/>
    <n v="13.7"/>
    <n v="137"/>
    <x v="64"/>
    <x v="68"/>
    <x v="1"/>
    <x v="0"/>
    <x v="2"/>
    <x v="0"/>
    <x v="3"/>
    <n v="1"/>
    <x v="9"/>
    <x v="1"/>
  </r>
  <r>
    <x v="1766"/>
    <x v="0"/>
    <x v="12"/>
    <n v="32.1"/>
    <n v="128.4"/>
    <x v="64"/>
    <x v="68"/>
    <x v="1"/>
    <x v="4"/>
    <x v="1"/>
    <x v="0"/>
    <x v="3"/>
    <n v="1"/>
    <x v="9"/>
    <x v="1"/>
  </r>
  <r>
    <x v="1767"/>
    <x v="14"/>
    <x v="8"/>
    <n v="12"/>
    <n v="96"/>
    <x v="64"/>
    <x v="68"/>
    <x v="1"/>
    <x v="1"/>
    <x v="0"/>
    <x v="0"/>
    <x v="24"/>
    <n v="1"/>
    <x v="9"/>
    <x v="1"/>
  </r>
  <r>
    <x v="1768"/>
    <x v="12"/>
    <x v="0"/>
    <n v="64.3"/>
    <n v="64.3"/>
    <x v="64"/>
    <x v="70"/>
    <x v="2"/>
    <x v="2"/>
    <x v="2"/>
    <x v="0"/>
    <x v="6"/>
    <n v="2"/>
    <x v="9"/>
    <x v="2"/>
  </r>
  <r>
    <x v="1769"/>
    <x v="1"/>
    <x v="2"/>
    <n v="58.2"/>
    <n v="174.60000000000002"/>
    <x v="64"/>
    <x v="70"/>
    <x v="2"/>
    <x v="1"/>
    <x v="2"/>
    <x v="0"/>
    <x v="6"/>
    <n v="2"/>
    <x v="9"/>
    <x v="2"/>
  </r>
  <r>
    <x v="1770"/>
    <x v="6"/>
    <x v="12"/>
    <n v="59.2"/>
    <n v="236.8"/>
    <x v="64"/>
    <x v="66"/>
    <x v="1"/>
    <x v="1"/>
    <x v="2"/>
    <x v="0"/>
    <x v="6"/>
    <n v="0"/>
    <x v="9"/>
    <x v="1"/>
  </r>
  <r>
    <x v="1771"/>
    <x v="10"/>
    <x v="5"/>
    <n v="35.6"/>
    <n v="391.6"/>
    <x v="64"/>
    <x v="64"/>
    <x v="1"/>
    <x v="0"/>
    <x v="2"/>
    <x v="0"/>
    <x v="8"/>
    <n v="7"/>
    <x v="9"/>
    <x v="1"/>
  </r>
  <r>
    <x v="1772"/>
    <x v="16"/>
    <x v="8"/>
    <n v="37"/>
    <n v="296"/>
    <x v="64"/>
    <x v="65"/>
    <x v="2"/>
    <x v="2"/>
    <x v="1"/>
    <x v="0"/>
    <x v="8"/>
    <n v="4"/>
    <x v="9"/>
    <x v="2"/>
  </r>
  <r>
    <x v="1773"/>
    <x v="1"/>
    <x v="15"/>
    <n v="80.8"/>
    <n v="1050.3999999999999"/>
    <x v="64"/>
    <x v="70"/>
    <x v="2"/>
    <x v="0"/>
    <x v="0"/>
    <x v="0"/>
    <x v="8"/>
    <n v="2"/>
    <x v="9"/>
    <x v="2"/>
  </r>
  <r>
    <x v="1774"/>
    <x v="8"/>
    <x v="1"/>
    <n v="63.2"/>
    <n v="126.4"/>
    <x v="64"/>
    <x v="68"/>
    <x v="1"/>
    <x v="0"/>
    <x v="1"/>
    <x v="0"/>
    <x v="8"/>
    <n v="1"/>
    <x v="9"/>
    <x v="1"/>
  </r>
  <r>
    <x v="1775"/>
    <x v="3"/>
    <x v="1"/>
    <n v="40.799999999999997"/>
    <n v="81.599999999999994"/>
    <x v="64"/>
    <x v="70"/>
    <x v="1"/>
    <x v="0"/>
    <x v="1"/>
    <x v="0"/>
    <x v="17"/>
    <n v="2"/>
    <x v="9"/>
    <x v="1"/>
  </r>
  <r>
    <x v="1776"/>
    <x v="13"/>
    <x v="13"/>
    <n v="25.7"/>
    <n v="154.19999999999999"/>
    <x v="64"/>
    <x v="70"/>
    <x v="1"/>
    <x v="4"/>
    <x v="0"/>
    <x v="0"/>
    <x v="18"/>
    <n v="2"/>
    <x v="9"/>
    <x v="1"/>
  </r>
  <r>
    <x v="1777"/>
    <x v="16"/>
    <x v="1"/>
    <n v="49.9"/>
    <n v="99.8"/>
    <x v="64"/>
    <x v="60"/>
    <x v="1"/>
    <x v="0"/>
    <x v="0"/>
    <x v="0"/>
    <x v="20"/>
    <n v="3"/>
    <x v="9"/>
    <x v="1"/>
  </r>
  <r>
    <x v="1778"/>
    <x v="8"/>
    <x v="1"/>
    <n v="20.2"/>
    <n v="40.4"/>
    <x v="64"/>
    <x v="70"/>
    <x v="2"/>
    <x v="3"/>
    <x v="0"/>
    <x v="0"/>
    <x v="21"/>
    <n v="2"/>
    <x v="9"/>
    <x v="2"/>
  </r>
  <r>
    <x v="1779"/>
    <x v="6"/>
    <x v="2"/>
    <n v="48.4"/>
    <n v="145.19999999999999"/>
    <x v="64"/>
    <x v="71"/>
    <x v="2"/>
    <x v="0"/>
    <x v="2"/>
    <x v="0"/>
    <x v="21"/>
    <n v="5"/>
    <x v="9"/>
    <x v="2"/>
  </r>
  <r>
    <x v="1780"/>
    <x v="6"/>
    <x v="1"/>
    <n v="81"/>
    <n v="162"/>
    <x v="64"/>
    <x v="68"/>
    <x v="2"/>
    <x v="1"/>
    <x v="2"/>
    <x v="0"/>
    <x v="21"/>
    <n v="1"/>
    <x v="9"/>
    <x v="2"/>
  </r>
  <r>
    <x v="1781"/>
    <x v="8"/>
    <x v="13"/>
    <n v="19.899999999999999"/>
    <n v="119.39999999999999"/>
    <x v="64"/>
    <x v="60"/>
    <x v="2"/>
    <x v="0"/>
    <x v="1"/>
    <x v="0"/>
    <x v="22"/>
    <n v="3"/>
    <x v="9"/>
    <x v="2"/>
  </r>
  <r>
    <x v="1782"/>
    <x v="4"/>
    <x v="12"/>
    <n v="32.200000000000003"/>
    <n v="128.80000000000001"/>
    <x v="64"/>
    <x v="69"/>
    <x v="1"/>
    <x v="0"/>
    <x v="0"/>
    <x v="0"/>
    <x v="22"/>
    <n v="10"/>
    <x v="9"/>
    <x v="1"/>
  </r>
  <r>
    <x v="1783"/>
    <x v="5"/>
    <x v="2"/>
    <n v="76.8"/>
    <n v="230.39999999999998"/>
    <x v="64"/>
    <x v="68"/>
    <x v="2"/>
    <x v="0"/>
    <x v="1"/>
    <x v="0"/>
    <x v="3"/>
    <n v="1"/>
    <x v="9"/>
    <x v="2"/>
  </r>
  <r>
    <x v="1784"/>
    <x v="6"/>
    <x v="1"/>
    <n v="41.9"/>
    <n v="83.8"/>
    <x v="64"/>
    <x v="70"/>
    <x v="2"/>
    <x v="0"/>
    <x v="0"/>
    <x v="0"/>
    <x v="3"/>
    <n v="2"/>
    <x v="9"/>
    <x v="2"/>
  </r>
  <r>
    <x v="1785"/>
    <x v="0"/>
    <x v="3"/>
    <n v="34"/>
    <n v="238"/>
    <x v="64"/>
    <x v="70"/>
    <x v="2"/>
    <x v="1"/>
    <x v="2"/>
    <x v="0"/>
    <x v="3"/>
    <n v="2"/>
    <x v="9"/>
    <x v="2"/>
  </r>
  <r>
    <x v="1786"/>
    <x v="7"/>
    <x v="3"/>
    <n v="61.3"/>
    <n v="429.09999999999997"/>
    <x v="64"/>
    <x v="66"/>
    <x v="2"/>
    <x v="4"/>
    <x v="2"/>
    <x v="0"/>
    <x v="3"/>
    <n v="0"/>
    <x v="9"/>
    <x v="2"/>
  </r>
  <r>
    <x v="1787"/>
    <x v="9"/>
    <x v="0"/>
    <n v="54.7"/>
    <n v="54.7"/>
    <x v="65"/>
    <x v="70"/>
    <x v="1"/>
    <x v="0"/>
    <x v="1"/>
    <x v="0"/>
    <x v="3"/>
    <n v="1"/>
    <x v="9"/>
    <x v="1"/>
  </r>
  <r>
    <x v="1788"/>
    <x v="6"/>
    <x v="7"/>
    <n v="84.7"/>
    <n v="847"/>
    <x v="65"/>
    <x v="71"/>
    <x v="2"/>
    <x v="0"/>
    <x v="0"/>
    <x v="0"/>
    <x v="3"/>
    <n v="4"/>
    <x v="9"/>
    <x v="2"/>
  </r>
  <r>
    <x v="1789"/>
    <x v="1"/>
    <x v="2"/>
    <n v="93.4"/>
    <n v="280.20000000000005"/>
    <x v="65"/>
    <x v="71"/>
    <x v="2"/>
    <x v="3"/>
    <x v="0"/>
    <x v="0"/>
    <x v="3"/>
    <n v="4"/>
    <x v="9"/>
    <x v="2"/>
  </r>
  <r>
    <x v="1790"/>
    <x v="8"/>
    <x v="9"/>
    <n v="27"/>
    <n v="135"/>
    <x v="65"/>
    <x v="65"/>
    <x v="1"/>
    <x v="0"/>
    <x v="1"/>
    <x v="0"/>
    <x v="3"/>
    <n v="3"/>
    <x v="9"/>
    <x v="1"/>
  </r>
  <r>
    <x v="1791"/>
    <x v="0"/>
    <x v="12"/>
    <n v="10.9"/>
    <n v="43.6"/>
    <x v="65"/>
    <x v="70"/>
    <x v="1"/>
    <x v="2"/>
    <x v="0"/>
    <x v="0"/>
    <x v="3"/>
    <n v="1"/>
    <x v="9"/>
    <x v="1"/>
  </r>
  <r>
    <x v="1792"/>
    <x v="16"/>
    <x v="2"/>
    <n v="48"/>
    <n v="144"/>
    <x v="65"/>
    <x v="74"/>
    <x v="2"/>
    <x v="4"/>
    <x v="0"/>
    <x v="0"/>
    <x v="3"/>
    <n v="5"/>
    <x v="9"/>
    <x v="2"/>
  </r>
  <r>
    <x v="1793"/>
    <x v="5"/>
    <x v="1"/>
    <n v="67.900000000000006"/>
    <n v="135.80000000000001"/>
    <x v="65"/>
    <x v="70"/>
    <x v="1"/>
    <x v="0"/>
    <x v="2"/>
    <x v="0"/>
    <x v="23"/>
    <n v="1"/>
    <x v="9"/>
    <x v="1"/>
  </r>
  <r>
    <x v="1794"/>
    <x v="4"/>
    <x v="2"/>
    <n v="36"/>
    <n v="108"/>
    <x v="65"/>
    <x v="70"/>
    <x v="1"/>
    <x v="1"/>
    <x v="0"/>
    <x v="0"/>
    <x v="6"/>
    <n v="1"/>
    <x v="9"/>
    <x v="1"/>
  </r>
  <r>
    <x v="1795"/>
    <x v="2"/>
    <x v="0"/>
    <n v="128.80000000000001"/>
    <n v="128.80000000000001"/>
    <x v="65"/>
    <x v="70"/>
    <x v="1"/>
    <x v="4"/>
    <x v="2"/>
    <x v="0"/>
    <x v="6"/>
    <n v="1"/>
    <x v="9"/>
    <x v="1"/>
  </r>
  <r>
    <x v="1796"/>
    <x v="18"/>
    <x v="3"/>
    <n v="33.299999999999997"/>
    <n v="233.09999999999997"/>
    <x v="65"/>
    <x v="70"/>
    <x v="2"/>
    <x v="3"/>
    <x v="0"/>
    <x v="0"/>
    <x v="8"/>
    <n v="1"/>
    <x v="9"/>
    <x v="2"/>
  </r>
  <r>
    <x v="1797"/>
    <x v="10"/>
    <x v="2"/>
    <n v="37.799999999999997"/>
    <n v="113.39999999999999"/>
    <x v="65"/>
    <x v="60"/>
    <x v="1"/>
    <x v="1"/>
    <x v="2"/>
    <x v="0"/>
    <x v="8"/>
    <n v="2"/>
    <x v="9"/>
    <x v="1"/>
  </r>
  <r>
    <x v="1798"/>
    <x v="5"/>
    <x v="2"/>
    <n v="26"/>
    <n v="78"/>
    <x v="65"/>
    <x v="74"/>
    <x v="2"/>
    <x v="0"/>
    <x v="0"/>
    <x v="0"/>
    <x v="8"/>
    <n v="5"/>
    <x v="9"/>
    <x v="2"/>
  </r>
  <r>
    <x v="1799"/>
    <x v="8"/>
    <x v="10"/>
    <n v="28.3"/>
    <n v="537.70000000000005"/>
    <x v="65"/>
    <x v="70"/>
    <x v="2"/>
    <x v="3"/>
    <x v="4"/>
    <x v="0"/>
    <x v="8"/>
    <n v="1"/>
    <x v="9"/>
    <x v="2"/>
  </r>
  <r>
    <x v="1800"/>
    <x v="8"/>
    <x v="12"/>
    <n v="31.3"/>
    <n v="125.2"/>
    <x v="65"/>
    <x v="68"/>
    <x v="2"/>
    <x v="0"/>
    <x v="0"/>
    <x v="0"/>
    <x v="8"/>
    <n v="0"/>
    <x v="9"/>
    <x v="2"/>
  </r>
  <r>
    <x v="1801"/>
    <x v="7"/>
    <x v="2"/>
    <n v="69.5"/>
    <n v="208.5"/>
    <x v="65"/>
    <x v="70"/>
    <x v="2"/>
    <x v="3"/>
    <x v="2"/>
    <x v="0"/>
    <x v="8"/>
    <n v="1"/>
    <x v="9"/>
    <x v="2"/>
  </r>
  <r>
    <x v="1802"/>
    <x v="0"/>
    <x v="1"/>
    <n v="16.7"/>
    <n v="33.4"/>
    <x v="65"/>
    <x v="70"/>
    <x v="2"/>
    <x v="3"/>
    <x v="1"/>
    <x v="0"/>
    <x v="8"/>
    <n v="1"/>
    <x v="9"/>
    <x v="2"/>
  </r>
  <r>
    <x v="1803"/>
    <x v="9"/>
    <x v="1"/>
    <n v="62.6"/>
    <n v="125.2"/>
    <x v="65"/>
    <x v="70"/>
    <x v="1"/>
    <x v="2"/>
    <x v="2"/>
    <x v="0"/>
    <x v="9"/>
    <n v="1"/>
    <x v="9"/>
    <x v="1"/>
  </r>
  <r>
    <x v="1804"/>
    <x v="7"/>
    <x v="0"/>
    <n v="81.2"/>
    <n v="81.2"/>
    <x v="65"/>
    <x v="64"/>
    <x v="1"/>
    <x v="4"/>
    <x v="4"/>
    <x v="0"/>
    <x v="9"/>
    <n v="6"/>
    <x v="9"/>
    <x v="1"/>
  </r>
  <r>
    <x v="1805"/>
    <x v="0"/>
    <x v="7"/>
    <n v="12.7"/>
    <n v="127"/>
    <x v="65"/>
    <x v="70"/>
    <x v="2"/>
    <x v="0"/>
    <x v="2"/>
    <x v="0"/>
    <x v="9"/>
    <n v="1"/>
    <x v="9"/>
    <x v="2"/>
  </r>
  <r>
    <x v="1806"/>
    <x v="7"/>
    <x v="12"/>
    <n v="77.7"/>
    <n v="310.8"/>
    <x v="66"/>
    <x v="74"/>
    <x v="1"/>
    <x v="1"/>
    <x v="0"/>
    <x v="0"/>
    <x v="11"/>
    <n v="4"/>
    <x v="9"/>
    <x v="1"/>
  </r>
  <r>
    <x v="1807"/>
    <x v="5"/>
    <x v="1"/>
    <n v="37.299999999999997"/>
    <n v="74.599999999999994"/>
    <x v="66"/>
    <x v="60"/>
    <x v="2"/>
    <x v="0"/>
    <x v="2"/>
    <x v="0"/>
    <x v="18"/>
    <n v="1"/>
    <x v="9"/>
    <x v="2"/>
  </r>
  <r>
    <x v="1808"/>
    <x v="10"/>
    <x v="12"/>
    <n v="35.6"/>
    <n v="142.4"/>
    <x v="66"/>
    <x v="65"/>
    <x v="2"/>
    <x v="1"/>
    <x v="1"/>
    <x v="0"/>
    <x v="19"/>
    <n v="2"/>
    <x v="9"/>
    <x v="2"/>
  </r>
  <r>
    <x v="1809"/>
    <x v="2"/>
    <x v="2"/>
    <n v="95"/>
    <n v="285"/>
    <x v="66"/>
    <x v="74"/>
    <x v="2"/>
    <x v="2"/>
    <x v="2"/>
    <x v="0"/>
    <x v="56"/>
    <n v="4"/>
    <x v="9"/>
    <x v="2"/>
  </r>
  <r>
    <x v="1810"/>
    <x v="2"/>
    <x v="12"/>
    <n v="172.1"/>
    <n v="688.4"/>
    <x v="66"/>
    <x v="74"/>
    <x v="3"/>
    <x v="2"/>
    <x v="2"/>
    <x v="0"/>
    <x v="21"/>
    <n v="4"/>
    <x v="9"/>
    <x v="3"/>
  </r>
  <r>
    <x v="1811"/>
    <x v="2"/>
    <x v="1"/>
    <n v="233"/>
    <n v="466"/>
    <x v="66"/>
    <x v="71"/>
    <x v="2"/>
    <x v="1"/>
    <x v="0"/>
    <x v="0"/>
    <x v="21"/>
    <n v="3"/>
    <x v="9"/>
    <x v="2"/>
  </r>
  <r>
    <x v="1812"/>
    <x v="0"/>
    <x v="0"/>
    <n v="43.5"/>
    <n v="43.5"/>
    <x v="66"/>
    <x v="60"/>
    <x v="2"/>
    <x v="2"/>
    <x v="2"/>
    <x v="0"/>
    <x v="21"/>
    <n v="1"/>
    <x v="9"/>
    <x v="2"/>
  </r>
  <r>
    <x v="1813"/>
    <x v="9"/>
    <x v="1"/>
    <n v="47.8"/>
    <n v="95.6"/>
    <x v="66"/>
    <x v="71"/>
    <x v="1"/>
    <x v="4"/>
    <x v="2"/>
    <x v="0"/>
    <x v="1"/>
    <n v="3"/>
    <x v="9"/>
    <x v="1"/>
  </r>
  <r>
    <x v="1814"/>
    <x v="12"/>
    <x v="1"/>
    <n v="65.8"/>
    <n v="131.6"/>
    <x v="66"/>
    <x v="65"/>
    <x v="2"/>
    <x v="0"/>
    <x v="3"/>
    <x v="0"/>
    <x v="33"/>
    <n v="2"/>
    <x v="9"/>
    <x v="2"/>
  </r>
  <r>
    <x v="1815"/>
    <x v="15"/>
    <x v="5"/>
    <n v="38.700000000000003"/>
    <n v="425.70000000000005"/>
    <x v="66"/>
    <x v="70"/>
    <x v="1"/>
    <x v="0"/>
    <x v="0"/>
    <x v="0"/>
    <x v="22"/>
    <n v="0"/>
    <x v="9"/>
    <x v="1"/>
  </r>
  <r>
    <x v="1816"/>
    <x v="3"/>
    <x v="12"/>
    <n v="55.7"/>
    <n v="222.8"/>
    <x v="66"/>
    <x v="65"/>
    <x v="3"/>
    <x v="0"/>
    <x v="1"/>
    <x v="0"/>
    <x v="22"/>
    <n v="2"/>
    <x v="9"/>
    <x v="3"/>
  </r>
  <r>
    <x v="1817"/>
    <x v="7"/>
    <x v="1"/>
    <n v="102.4"/>
    <n v="204.8"/>
    <x v="66"/>
    <x v="70"/>
    <x v="2"/>
    <x v="1"/>
    <x v="0"/>
    <x v="0"/>
    <x v="3"/>
    <n v="0"/>
    <x v="9"/>
    <x v="2"/>
  </r>
  <r>
    <x v="1818"/>
    <x v="1"/>
    <x v="0"/>
    <n v="92"/>
    <n v="92"/>
    <x v="66"/>
    <x v="74"/>
    <x v="0"/>
    <x v="2"/>
    <x v="0"/>
    <x v="0"/>
    <x v="3"/>
    <n v="4"/>
    <x v="9"/>
    <x v="0"/>
  </r>
  <r>
    <x v="1819"/>
    <x v="6"/>
    <x v="12"/>
    <n v="75.900000000000006"/>
    <n v="303.60000000000002"/>
    <x v="66"/>
    <x v="65"/>
    <x v="2"/>
    <x v="1"/>
    <x v="0"/>
    <x v="0"/>
    <x v="3"/>
    <n v="2"/>
    <x v="9"/>
    <x v="2"/>
  </r>
  <r>
    <x v="1820"/>
    <x v="1"/>
    <x v="12"/>
    <n v="36.200000000000003"/>
    <n v="144.80000000000001"/>
    <x v="66"/>
    <x v="60"/>
    <x v="2"/>
    <x v="1"/>
    <x v="0"/>
    <x v="0"/>
    <x v="3"/>
    <n v="1"/>
    <x v="9"/>
    <x v="2"/>
  </r>
  <r>
    <x v="1821"/>
    <x v="6"/>
    <x v="45"/>
    <n v="83.5"/>
    <n v="7264.5"/>
    <x v="66"/>
    <x v="65"/>
    <x v="0"/>
    <x v="3"/>
    <x v="0"/>
    <x v="0"/>
    <x v="3"/>
    <n v="2"/>
    <x v="9"/>
    <x v="0"/>
  </r>
  <r>
    <x v="1822"/>
    <x v="19"/>
    <x v="4"/>
    <n v="52.4"/>
    <n v="628.79999999999995"/>
    <x v="66"/>
    <x v="70"/>
    <x v="1"/>
    <x v="2"/>
    <x v="0"/>
    <x v="0"/>
    <x v="3"/>
    <n v="0"/>
    <x v="9"/>
    <x v="1"/>
  </r>
  <r>
    <x v="1823"/>
    <x v="12"/>
    <x v="2"/>
    <n v="69.5"/>
    <n v="208.5"/>
    <x v="66"/>
    <x v="60"/>
    <x v="3"/>
    <x v="4"/>
    <x v="0"/>
    <x v="0"/>
    <x v="3"/>
    <n v="1"/>
    <x v="9"/>
    <x v="3"/>
  </r>
  <r>
    <x v="1824"/>
    <x v="0"/>
    <x v="0"/>
    <n v="15.5"/>
    <n v="15.5"/>
    <x v="66"/>
    <x v="65"/>
    <x v="1"/>
    <x v="0"/>
    <x v="0"/>
    <x v="0"/>
    <x v="3"/>
    <n v="2"/>
    <x v="9"/>
    <x v="1"/>
  </r>
  <r>
    <x v="1825"/>
    <x v="4"/>
    <x v="12"/>
    <n v="35.200000000000003"/>
    <n v="140.80000000000001"/>
    <x v="66"/>
    <x v="60"/>
    <x v="2"/>
    <x v="2"/>
    <x v="2"/>
    <x v="0"/>
    <x v="3"/>
    <n v="1"/>
    <x v="9"/>
    <x v="2"/>
  </r>
  <r>
    <x v="1826"/>
    <x v="8"/>
    <x v="13"/>
    <n v="34.6"/>
    <n v="207.60000000000002"/>
    <x v="66"/>
    <x v="60"/>
    <x v="0"/>
    <x v="0"/>
    <x v="1"/>
    <x v="0"/>
    <x v="3"/>
    <n v="1"/>
    <x v="9"/>
    <x v="0"/>
  </r>
  <r>
    <x v="1827"/>
    <x v="4"/>
    <x v="0"/>
    <n v="21.3"/>
    <n v="21.3"/>
    <x v="67"/>
    <x v="65"/>
    <x v="1"/>
    <x v="2"/>
    <x v="1"/>
    <x v="0"/>
    <x v="3"/>
    <n v="1"/>
    <x v="10"/>
    <x v="1"/>
  </r>
  <r>
    <x v="1828"/>
    <x v="6"/>
    <x v="1"/>
    <n v="136.5"/>
    <n v="273"/>
    <x v="67"/>
    <x v="72"/>
    <x v="2"/>
    <x v="0"/>
    <x v="0"/>
    <x v="0"/>
    <x v="37"/>
    <n v="6"/>
    <x v="10"/>
    <x v="2"/>
  </r>
  <r>
    <x v="1829"/>
    <x v="9"/>
    <x v="3"/>
    <n v="30.7"/>
    <n v="214.9"/>
    <x v="67"/>
    <x v="65"/>
    <x v="1"/>
    <x v="2"/>
    <x v="2"/>
    <x v="0"/>
    <x v="25"/>
    <n v="1"/>
    <x v="10"/>
    <x v="1"/>
  </r>
  <r>
    <x v="1830"/>
    <x v="1"/>
    <x v="1"/>
    <n v="61.6"/>
    <n v="123.2"/>
    <x v="67"/>
    <x v="65"/>
    <x v="2"/>
    <x v="2"/>
    <x v="2"/>
    <x v="0"/>
    <x v="23"/>
    <n v="1"/>
    <x v="10"/>
    <x v="2"/>
  </r>
  <r>
    <x v="1831"/>
    <x v="6"/>
    <x v="12"/>
    <n v="54.3"/>
    <n v="217.2"/>
    <x v="67"/>
    <x v="71"/>
    <x v="0"/>
    <x v="4"/>
    <x v="0"/>
    <x v="0"/>
    <x v="7"/>
    <n v="2"/>
    <x v="10"/>
    <x v="0"/>
  </r>
  <r>
    <x v="1832"/>
    <x v="1"/>
    <x v="1"/>
    <n v="44.1"/>
    <n v="88.2"/>
    <x v="67"/>
    <x v="75"/>
    <x v="2"/>
    <x v="0"/>
    <x v="2"/>
    <x v="0"/>
    <x v="8"/>
    <n v="12"/>
    <x v="10"/>
    <x v="2"/>
  </r>
  <r>
    <x v="1833"/>
    <x v="8"/>
    <x v="12"/>
    <n v="43.5"/>
    <n v="174"/>
    <x v="67"/>
    <x v="72"/>
    <x v="1"/>
    <x v="3"/>
    <x v="0"/>
    <x v="0"/>
    <x v="8"/>
    <n v="6"/>
    <x v="10"/>
    <x v="1"/>
  </r>
  <r>
    <x v="1834"/>
    <x v="8"/>
    <x v="2"/>
    <n v="48.2"/>
    <n v="144.60000000000002"/>
    <x v="67"/>
    <x v="64"/>
    <x v="1"/>
    <x v="3"/>
    <x v="1"/>
    <x v="0"/>
    <x v="8"/>
    <n v="4"/>
    <x v="10"/>
    <x v="1"/>
  </r>
  <r>
    <x v="1835"/>
    <x v="19"/>
    <x v="0"/>
    <n v="13.7"/>
    <n v="13.7"/>
    <x v="67"/>
    <x v="65"/>
    <x v="2"/>
    <x v="2"/>
    <x v="2"/>
    <x v="0"/>
    <x v="8"/>
    <n v="1"/>
    <x v="10"/>
    <x v="2"/>
  </r>
  <r>
    <x v="1836"/>
    <x v="2"/>
    <x v="1"/>
    <n v="110.5"/>
    <n v="221"/>
    <x v="67"/>
    <x v="65"/>
    <x v="2"/>
    <x v="0"/>
    <x v="1"/>
    <x v="0"/>
    <x v="8"/>
    <n v="1"/>
    <x v="10"/>
    <x v="2"/>
  </r>
  <r>
    <x v="1837"/>
    <x v="8"/>
    <x v="2"/>
    <n v="26"/>
    <n v="78"/>
    <x v="67"/>
    <x v="67"/>
    <x v="2"/>
    <x v="1"/>
    <x v="1"/>
    <x v="0"/>
    <x v="8"/>
    <n v="5"/>
    <x v="10"/>
    <x v="2"/>
  </r>
  <r>
    <x v="1838"/>
    <x v="2"/>
    <x v="7"/>
    <n v="140.69999999999999"/>
    <n v="1407"/>
    <x v="67"/>
    <x v="72"/>
    <x v="1"/>
    <x v="3"/>
    <x v="1"/>
    <x v="0"/>
    <x v="8"/>
    <n v="6"/>
    <x v="10"/>
    <x v="1"/>
  </r>
  <r>
    <x v="1839"/>
    <x v="17"/>
    <x v="1"/>
    <n v="41.7"/>
    <n v="83.4"/>
    <x v="67"/>
    <x v="76"/>
    <x v="2"/>
    <x v="0"/>
    <x v="4"/>
    <x v="0"/>
    <x v="8"/>
    <n v="8"/>
    <x v="10"/>
    <x v="2"/>
  </r>
  <r>
    <x v="1840"/>
    <x v="2"/>
    <x v="1"/>
    <n v="135.1"/>
    <n v="270.2"/>
    <x v="67"/>
    <x v="65"/>
    <x v="1"/>
    <x v="0"/>
    <x v="2"/>
    <x v="0"/>
    <x v="17"/>
    <n v="1"/>
    <x v="10"/>
    <x v="1"/>
  </r>
  <r>
    <x v="1841"/>
    <x v="12"/>
    <x v="32"/>
    <n v="95.5"/>
    <n v="2101"/>
    <x v="67"/>
    <x v="65"/>
    <x v="2"/>
    <x v="4"/>
    <x v="4"/>
    <x v="0"/>
    <x v="26"/>
    <n v="1"/>
    <x v="10"/>
    <x v="2"/>
  </r>
  <r>
    <x v="1842"/>
    <x v="15"/>
    <x v="0"/>
    <n v="25.5"/>
    <n v="25.5"/>
    <x v="67"/>
    <x v="74"/>
    <x v="0"/>
    <x v="2"/>
    <x v="2"/>
    <x v="0"/>
    <x v="11"/>
    <n v="3"/>
    <x v="10"/>
    <x v="0"/>
  </r>
  <r>
    <x v="1843"/>
    <x v="1"/>
    <x v="0"/>
    <n v="42.6"/>
    <n v="42.6"/>
    <x v="67"/>
    <x v="64"/>
    <x v="2"/>
    <x v="0"/>
    <x v="0"/>
    <x v="0"/>
    <x v="11"/>
    <n v="4"/>
    <x v="10"/>
    <x v="2"/>
  </r>
  <r>
    <x v="1844"/>
    <x v="8"/>
    <x v="20"/>
    <n v="32.4"/>
    <n v="486"/>
    <x v="67"/>
    <x v="65"/>
    <x v="1"/>
    <x v="1"/>
    <x v="1"/>
    <x v="0"/>
    <x v="11"/>
    <n v="1"/>
    <x v="10"/>
    <x v="1"/>
  </r>
  <r>
    <x v="1845"/>
    <x v="4"/>
    <x v="12"/>
    <n v="20.2"/>
    <n v="80.8"/>
    <x v="67"/>
    <x v="65"/>
    <x v="3"/>
    <x v="2"/>
    <x v="0"/>
    <x v="0"/>
    <x v="11"/>
    <n v="1"/>
    <x v="10"/>
    <x v="3"/>
  </r>
  <r>
    <x v="1846"/>
    <x v="16"/>
    <x v="2"/>
    <n v="52.5"/>
    <n v="157.5"/>
    <x v="67"/>
    <x v="67"/>
    <x v="2"/>
    <x v="4"/>
    <x v="0"/>
    <x v="0"/>
    <x v="18"/>
    <n v="5"/>
    <x v="10"/>
    <x v="2"/>
  </r>
  <r>
    <x v="1847"/>
    <x v="2"/>
    <x v="9"/>
    <n v="59.9"/>
    <n v="299.5"/>
    <x v="67"/>
    <x v="71"/>
    <x v="2"/>
    <x v="2"/>
    <x v="0"/>
    <x v="0"/>
    <x v="19"/>
    <n v="2"/>
    <x v="10"/>
    <x v="2"/>
  </r>
  <r>
    <x v="1848"/>
    <x v="4"/>
    <x v="1"/>
    <n v="53.2"/>
    <n v="106.4"/>
    <x v="67"/>
    <x v="65"/>
    <x v="2"/>
    <x v="1"/>
    <x v="3"/>
    <x v="0"/>
    <x v="20"/>
    <n v="1"/>
    <x v="10"/>
    <x v="2"/>
  </r>
  <r>
    <x v="1849"/>
    <x v="2"/>
    <x v="1"/>
    <n v="60"/>
    <n v="120"/>
    <x v="67"/>
    <x v="72"/>
    <x v="1"/>
    <x v="1"/>
    <x v="2"/>
    <x v="0"/>
    <x v="20"/>
    <n v="6"/>
    <x v="10"/>
    <x v="1"/>
  </r>
  <r>
    <x v="1850"/>
    <x v="8"/>
    <x v="2"/>
    <n v="29.3"/>
    <n v="87.9"/>
    <x v="67"/>
    <x v="65"/>
    <x v="2"/>
    <x v="4"/>
    <x v="0"/>
    <x v="0"/>
    <x v="13"/>
    <n v="1"/>
    <x v="10"/>
    <x v="2"/>
  </r>
  <r>
    <x v="1851"/>
    <x v="12"/>
    <x v="1"/>
    <n v="55.4"/>
    <n v="110.8"/>
    <x v="67"/>
    <x v="65"/>
    <x v="2"/>
    <x v="0"/>
    <x v="2"/>
    <x v="0"/>
    <x v="21"/>
    <n v="1"/>
    <x v="10"/>
    <x v="2"/>
  </r>
  <r>
    <x v="1852"/>
    <x v="0"/>
    <x v="9"/>
    <n v="20.100000000000001"/>
    <n v="100.5"/>
    <x v="67"/>
    <x v="71"/>
    <x v="2"/>
    <x v="1"/>
    <x v="2"/>
    <x v="0"/>
    <x v="21"/>
    <n v="2"/>
    <x v="10"/>
    <x v="2"/>
  </r>
  <r>
    <x v="1853"/>
    <x v="14"/>
    <x v="9"/>
    <n v="24"/>
    <n v="120"/>
    <x v="67"/>
    <x v="74"/>
    <x v="1"/>
    <x v="2"/>
    <x v="0"/>
    <x v="0"/>
    <x v="1"/>
    <n v="3"/>
    <x v="10"/>
    <x v="1"/>
  </r>
  <r>
    <x v="1854"/>
    <x v="8"/>
    <x v="1"/>
    <n v="30.6"/>
    <n v="61.2"/>
    <x v="68"/>
    <x v="74"/>
    <x v="2"/>
    <x v="0"/>
    <x v="0"/>
    <x v="0"/>
    <x v="1"/>
    <n v="2"/>
    <x v="10"/>
    <x v="2"/>
  </r>
  <r>
    <x v="1855"/>
    <x v="10"/>
    <x v="9"/>
    <n v="33"/>
    <n v="165"/>
    <x v="68"/>
    <x v="71"/>
    <x v="1"/>
    <x v="1"/>
    <x v="1"/>
    <x v="0"/>
    <x v="27"/>
    <n v="1"/>
    <x v="10"/>
    <x v="1"/>
  </r>
  <r>
    <x v="1856"/>
    <x v="17"/>
    <x v="11"/>
    <n v="42.1"/>
    <n v="378.90000000000003"/>
    <x v="68"/>
    <x v="69"/>
    <x v="2"/>
    <x v="2"/>
    <x v="0"/>
    <x v="0"/>
    <x v="44"/>
    <n v="6"/>
    <x v="10"/>
    <x v="2"/>
  </r>
  <r>
    <x v="1857"/>
    <x v="6"/>
    <x v="3"/>
    <n v="77.7"/>
    <n v="543.9"/>
    <x v="68"/>
    <x v="72"/>
    <x v="2"/>
    <x v="1"/>
    <x v="2"/>
    <x v="0"/>
    <x v="50"/>
    <n v="5"/>
    <x v="10"/>
    <x v="2"/>
  </r>
  <r>
    <x v="1858"/>
    <x v="17"/>
    <x v="13"/>
    <n v="22.7"/>
    <n v="136.19999999999999"/>
    <x v="68"/>
    <x v="64"/>
    <x v="2"/>
    <x v="2"/>
    <x v="0"/>
    <x v="0"/>
    <x v="3"/>
    <n v="3"/>
    <x v="10"/>
    <x v="2"/>
  </r>
  <r>
    <x v="1859"/>
    <x v="2"/>
    <x v="1"/>
    <n v="133"/>
    <n v="266"/>
    <x v="68"/>
    <x v="65"/>
    <x v="1"/>
    <x v="2"/>
    <x v="2"/>
    <x v="0"/>
    <x v="3"/>
    <n v="0"/>
    <x v="10"/>
    <x v="1"/>
  </r>
  <r>
    <x v="1860"/>
    <x v="0"/>
    <x v="1"/>
    <n v="23.3"/>
    <n v="46.6"/>
    <x v="68"/>
    <x v="71"/>
    <x v="1"/>
    <x v="1"/>
    <x v="2"/>
    <x v="0"/>
    <x v="3"/>
    <n v="1"/>
    <x v="10"/>
    <x v="1"/>
  </r>
  <r>
    <x v="1861"/>
    <x v="8"/>
    <x v="2"/>
    <n v="20.7"/>
    <n v="62.099999999999994"/>
    <x v="68"/>
    <x v="74"/>
    <x v="3"/>
    <x v="0"/>
    <x v="2"/>
    <x v="0"/>
    <x v="3"/>
    <n v="2"/>
    <x v="10"/>
    <x v="3"/>
  </r>
  <r>
    <x v="1862"/>
    <x v="12"/>
    <x v="1"/>
    <n v="47"/>
    <n v="94"/>
    <x v="68"/>
    <x v="71"/>
    <x v="1"/>
    <x v="1"/>
    <x v="2"/>
    <x v="0"/>
    <x v="3"/>
    <n v="1"/>
    <x v="10"/>
    <x v="1"/>
  </r>
  <r>
    <x v="1863"/>
    <x v="12"/>
    <x v="2"/>
    <n v="38.200000000000003"/>
    <n v="114.60000000000001"/>
    <x v="68"/>
    <x v="74"/>
    <x v="2"/>
    <x v="2"/>
    <x v="4"/>
    <x v="0"/>
    <x v="3"/>
    <n v="2"/>
    <x v="10"/>
    <x v="2"/>
  </r>
  <r>
    <x v="1864"/>
    <x v="9"/>
    <x v="0"/>
    <n v="39.1"/>
    <n v="39.1"/>
    <x v="68"/>
    <x v="74"/>
    <x v="2"/>
    <x v="0"/>
    <x v="0"/>
    <x v="0"/>
    <x v="3"/>
    <n v="2"/>
    <x v="10"/>
    <x v="2"/>
  </r>
  <r>
    <x v="1865"/>
    <x v="7"/>
    <x v="30"/>
    <n v="55.6"/>
    <n v="1390"/>
    <x v="68"/>
    <x v="74"/>
    <x v="1"/>
    <x v="0"/>
    <x v="2"/>
    <x v="0"/>
    <x v="3"/>
    <n v="2"/>
    <x v="10"/>
    <x v="1"/>
  </r>
  <r>
    <x v="1866"/>
    <x v="15"/>
    <x v="0"/>
    <n v="43.1"/>
    <n v="43.1"/>
    <x v="68"/>
    <x v="65"/>
    <x v="3"/>
    <x v="1"/>
    <x v="2"/>
    <x v="0"/>
    <x v="3"/>
    <n v="0"/>
    <x v="10"/>
    <x v="3"/>
  </r>
  <r>
    <x v="1867"/>
    <x v="6"/>
    <x v="12"/>
    <n v="48.1"/>
    <n v="192.4"/>
    <x v="68"/>
    <x v="71"/>
    <x v="2"/>
    <x v="4"/>
    <x v="2"/>
    <x v="0"/>
    <x v="3"/>
    <n v="1"/>
    <x v="10"/>
    <x v="2"/>
  </r>
  <r>
    <x v="1868"/>
    <x v="4"/>
    <x v="0"/>
    <n v="42"/>
    <n v="42"/>
    <x v="68"/>
    <x v="71"/>
    <x v="3"/>
    <x v="0"/>
    <x v="0"/>
    <x v="0"/>
    <x v="3"/>
    <n v="1"/>
    <x v="10"/>
    <x v="3"/>
  </r>
  <r>
    <x v="1869"/>
    <x v="8"/>
    <x v="9"/>
    <n v="18.3"/>
    <n v="91.5"/>
    <x v="68"/>
    <x v="65"/>
    <x v="2"/>
    <x v="2"/>
    <x v="0"/>
    <x v="0"/>
    <x v="3"/>
    <n v="0"/>
    <x v="10"/>
    <x v="2"/>
  </r>
  <r>
    <x v="1870"/>
    <x v="10"/>
    <x v="12"/>
    <n v="45.3"/>
    <n v="181.2"/>
    <x v="68"/>
    <x v="64"/>
    <x v="2"/>
    <x v="0"/>
    <x v="2"/>
    <x v="0"/>
    <x v="3"/>
    <n v="3"/>
    <x v="10"/>
    <x v="2"/>
  </r>
  <r>
    <x v="1871"/>
    <x v="0"/>
    <x v="1"/>
    <n v="27.6"/>
    <n v="55.2"/>
    <x v="68"/>
    <x v="74"/>
    <x v="1"/>
    <x v="0"/>
    <x v="2"/>
    <x v="0"/>
    <x v="37"/>
    <n v="2"/>
    <x v="10"/>
    <x v="1"/>
  </r>
  <r>
    <x v="1872"/>
    <x v="4"/>
    <x v="9"/>
    <n v="26.9"/>
    <n v="134.5"/>
    <x v="68"/>
    <x v="71"/>
    <x v="2"/>
    <x v="2"/>
    <x v="0"/>
    <x v="0"/>
    <x v="25"/>
    <n v="1"/>
    <x v="10"/>
    <x v="2"/>
  </r>
  <r>
    <x v="1873"/>
    <x v="2"/>
    <x v="11"/>
    <n v="82.4"/>
    <n v="741.6"/>
    <x v="68"/>
    <x v="74"/>
    <x v="3"/>
    <x v="2"/>
    <x v="0"/>
    <x v="0"/>
    <x v="5"/>
    <n v="2"/>
    <x v="10"/>
    <x v="3"/>
  </r>
  <r>
    <x v="1874"/>
    <x v="6"/>
    <x v="0"/>
    <n v="103.7"/>
    <n v="103.7"/>
    <x v="68"/>
    <x v="74"/>
    <x v="2"/>
    <x v="1"/>
    <x v="0"/>
    <x v="0"/>
    <x v="5"/>
    <n v="2"/>
    <x v="10"/>
    <x v="2"/>
  </r>
  <r>
    <x v="1875"/>
    <x v="2"/>
    <x v="1"/>
    <n v="58.8"/>
    <n v="117.6"/>
    <x v="68"/>
    <x v="72"/>
    <x v="2"/>
    <x v="1"/>
    <x v="2"/>
    <x v="0"/>
    <x v="6"/>
    <n v="5"/>
    <x v="10"/>
    <x v="2"/>
  </r>
  <r>
    <x v="1876"/>
    <x v="13"/>
    <x v="0"/>
    <n v="31.5"/>
    <n v="31.5"/>
    <x v="68"/>
    <x v="71"/>
    <x v="2"/>
    <x v="1"/>
    <x v="1"/>
    <x v="0"/>
    <x v="6"/>
    <n v="1"/>
    <x v="10"/>
    <x v="2"/>
  </r>
  <r>
    <x v="1877"/>
    <x v="7"/>
    <x v="9"/>
    <n v="36.799999999999997"/>
    <n v="184"/>
    <x v="68"/>
    <x v="74"/>
    <x v="2"/>
    <x v="0"/>
    <x v="0"/>
    <x v="0"/>
    <x v="8"/>
    <n v="2"/>
    <x v="10"/>
    <x v="2"/>
  </r>
  <r>
    <x v="1878"/>
    <x v="3"/>
    <x v="0"/>
    <n v="84.4"/>
    <n v="84.4"/>
    <x v="68"/>
    <x v="71"/>
    <x v="2"/>
    <x v="0"/>
    <x v="0"/>
    <x v="0"/>
    <x v="8"/>
    <n v="1"/>
    <x v="10"/>
    <x v="2"/>
  </r>
  <r>
    <x v="1879"/>
    <x v="14"/>
    <x v="0"/>
    <n v="44.7"/>
    <n v="44.7"/>
    <x v="68"/>
    <x v="71"/>
    <x v="1"/>
    <x v="0"/>
    <x v="1"/>
    <x v="0"/>
    <x v="8"/>
    <n v="1"/>
    <x v="10"/>
    <x v="1"/>
  </r>
  <r>
    <x v="1880"/>
    <x v="9"/>
    <x v="8"/>
    <n v="39.4"/>
    <n v="315.2"/>
    <x v="68"/>
    <x v="71"/>
    <x v="2"/>
    <x v="1"/>
    <x v="2"/>
    <x v="0"/>
    <x v="8"/>
    <n v="1"/>
    <x v="10"/>
    <x v="2"/>
  </r>
  <r>
    <x v="1881"/>
    <x v="11"/>
    <x v="12"/>
    <n v="34.9"/>
    <n v="139.6"/>
    <x v="68"/>
    <x v="74"/>
    <x v="2"/>
    <x v="0"/>
    <x v="2"/>
    <x v="0"/>
    <x v="8"/>
    <n v="2"/>
    <x v="10"/>
    <x v="2"/>
  </r>
  <r>
    <x v="1882"/>
    <x v="1"/>
    <x v="2"/>
    <n v="62.3"/>
    <n v="186.89999999999998"/>
    <x v="68"/>
    <x v="74"/>
    <x v="1"/>
    <x v="4"/>
    <x v="2"/>
    <x v="0"/>
    <x v="8"/>
    <n v="2"/>
    <x v="10"/>
    <x v="1"/>
  </r>
  <r>
    <x v="1883"/>
    <x v="8"/>
    <x v="12"/>
    <n v="21.1"/>
    <n v="84.4"/>
    <x v="68"/>
    <x v="64"/>
    <x v="1"/>
    <x v="3"/>
    <x v="0"/>
    <x v="0"/>
    <x v="8"/>
    <n v="3"/>
    <x v="10"/>
    <x v="1"/>
  </r>
  <r>
    <x v="1884"/>
    <x v="8"/>
    <x v="2"/>
    <n v="33.200000000000003"/>
    <n v="99.600000000000009"/>
    <x v="68"/>
    <x v="77"/>
    <x v="0"/>
    <x v="0"/>
    <x v="4"/>
    <x v="0"/>
    <x v="8"/>
    <n v="14"/>
    <x v="10"/>
    <x v="0"/>
  </r>
  <r>
    <x v="1885"/>
    <x v="1"/>
    <x v="12"/>
    <n v="74.5"/>
    <n v="298"/>
    <x v="68"/>
    <x v="71"/>
    <x v="1"/>
    <x v="4"/>
    <x v="0"/>
    <x v="0"/>
    <x v="8"/>
    <n v="1"/>
    <x v="10"/>
    <x v="1"/>
  </r>
  <r>
    <x v="1886"/>
    <x v="10"/>
    <x v="4"/>
    <n v="68.599999999999994"/>
    <n v="823.19999999999993"/>
    <x v="68"/>
    <x v="64"/>
    <x v="2"/>
    <x v="0"/>
    <x v="2"/>
    <x v="0"/>
    <x v="8"/>
    <n v="3"/>
    <x v="10"/>
    <x v="2"/>
  </r>
  <r>
    <x v="1887"/>
    <x v="5"/>
    <x v="21"/>
    <n v="36.4"/>
    <n v="509.59999999999997"/>
    <x v="68"/>
    <x v="74"/>
    <x v="2"/>
    <x v="0"/>
    <x v="1"/>
    <x v="0"/>
    <x v="9"/>
    <n v="2"/>
    <x v="10"/>
    <x v="2"/>
  </r>
  <r>
    <x v="1888"/>
    <x v="16"/>
    <x v="9"/>
    <n v="67.599999999999994"/>
    <n v="338"/>
    <x v="69"/>
    <x v="67"/>
    <x v="2"/>
    <x v="4"/>
    <x v="1"/>
    <x v="0"/>
    <x v="9"/>
    <n v="3"/>
    <x v="10"/>
    <x v="2"/>
  </r>
  <r>
    <x v="1889"/>
    <x v="15"/>
    <x v="0"/>
    <n v="46.3"/>
    <n v="46.3"/>
    <x v="69"/>
    <x v="74"/>
    <x v="1"/>
    <x v="2"/>
    <x v="0"/>
    <x v="0"/>
    <x v="9"/>
    <n v="1"/>
    <x v="10"/>
    <x v="1"/>
  </r>
  <r>
    <x v="1890"/>
    <x v="1"/>
    <x v="2"/>
    <n v="124.2"/>
    <n v="372.6"/>
    <x v="69"/>
    <x v="64"/>
    <x v="2"/>
    <x v="1"/>
    <x v="2"/>
    <x v="0"/>
    <x v="11"/>
    <n v="2"/>
    <x v="10"/>
    <x v="2"/>
  </r>
  <r>
    <x v="1891"/>
    <x v="10"/>
    <x v="1"/>
    <n v="37"/>
    <n v="74"/>
    <x v="69"/>
    <x v="76"/>
    <x v="1"/>
    <x v="0"/>
    <x v="0"/>
    <x v="0"/>
    <x v="11"/>
    <n v="6"/>
    <x v="10"/>
    <x v="1"/>
  </r>
  <r>
    <x v="1892"/>
    <x v="5"/>
    <x v="0"/>
    <n v="41.8"/>
    <n v="41.8"/>
    <x v="69"/>
    <x v="74"/>
    <x v="1"/>
    <x v="2"/>
    <x v="0"/>
    <x v="0"/>
    <x v="31"/>
    <n v="1"/>
    <x v="10"/>
    <x v="1"/>
  </r>
  <r>
    <x v="1893"/>
    <x v="9"/>
    <x v="1"/>
    <n v="57.2"/>
    <n v="114.4"/>
    <x v="69"/>
    <x v="64"/>
    <x v="1"/>
    <x v="2"/>
    <x v="1"/>
    <x v="0"/>
    <x v="20"/>
    <n v="2"/>
    <x v="10"/>
    <x v="1"/>
  </r>
  <r>
    <x v="1894"/>
    <x v="6"/>
    <x v="1"/>
    <n v="47.1"/>
    <n v="94.2"/>
    <x v="69"/>
    <x v="64"/>
    <x v="2"/>
    <x v="0"/>
    <x v="4"/>
    <x v="0"/>
    <x v="20"/>
    <n v="2"/>
    <x v="10"/>
    <x v="2"/>
  </r>
  <r>
    <x v="1895"/>
    <x v="5"/>
    <x v="2"/>
    <n v="86.4"/>
    <n v="259.20000000000005"/>
    <x v="69"/>
    <x v="74"/>
    <x v="1"/>
    <x v="2"/>
    <x v="1"/>
    <x v="0"/>
    <x v="52"/>
    <n v="1"/>
    <x v="10"/>
    <x v="1"/>
  </r>
  <r>
    <x v="1896"/>
    <x v="6"/>
    <x v="9"/>
    <n v="105"/>
    <n v="525"/>
    <x v="69"/>
    <x v="67"/>
    <x v="1"/>
    <x v="0"/>
    <x v="0"/>
    <x v="0"/>
    <x v="13"/>
    <n v="3"/>
    <x v="10"/>
    <x v="1"/>
  </r>
  <r>
    <x v="1897"/>
    <x v="18"/>
    <x v="0"/>
    <n v="33"/>
    <n v="33"/>
    <x v="69"/>
    <x v="67"/>
    <x v="1"/>
    <x v="4"/>
    <x v="0"/>
    <x v="0"/>
    <x v="21"/>
    <n v="3"/>
    <x v="10"/>
    <x v="1"/>
  </r>
  <r>
    <x v="1898"/>
    <x v="6"/>
    <x v="9"/>
    <n v="106.6"/>
    <n v="533"/>
    <x v="69"/>
    <x v="77"/>
    <x v="2"/>
    <x v="2"/>
    <x v="0"/>
    <x v="0"/>
    <x v="1"/>
    <n v="13"/>
    <x v="10"/>
    <x v="2"/>
  </r>
  <r>
    <x v="1899"/>
    <x v="10"/>
    <x v="46"/>
    <n v="26.8"/>
    <n v="857.6"/>
    <x v="69"/>
    <x v="74"/>
    <x v="2"/>
    <x v="2"/>
    <x v="0"/>
    <x v="0"/>
    <x v="1"/>
    <n v="1"/>
    <x v="10"/>
    <x v="2"/>
  </r>
  <r>
    <x v="1900"/>
    <x v="17"/>
    <x v="9"/>
    <n v="25.8"/>
    <n v="129"/>
    <x v="69"/>
    <x v="71"/>
    <x v="2"/>
    <x v="1"/>
    <x v="2"/>
    <x v="0"/>
    <x v="3"/>
    <n v="0"/>
    <x v="10"/>
    <x v="2"/>
  </r>
  <r>
    <x v="1901"/>
    <x v="2"/>
    <x v="2"/>
    <n v="217"/>
    <n v="651"/>
    <x v="69"/>
    <x v="74"/>
    <x v="2"/>
    <x v="1"/>
    <x v="1"/>
    <x v="0"/>
    <x v="3"/>
    <n v="1"/>
    <x v="10"/>
    <x v="2"/>
  </r>
  <r>
    <x v="1902"/>
    <x v="2"/>
    <x v="1"/>
    <n v="97.3"/>
    <n v="194.6"/>
    <x v="69"/>
    <x v="74"/>
    <x v="1"/>
    <x v="2"/>
    <x v="4"/>
    <x v="0"/>
    <x v="3"/>
    <n v="1"/>
    <x v="10"/>
    <x v="1"/>
  </r>
  <r>
    <x v="1903"/>
    <x v="1"/>
    <x v="0"/>
    <n v="49.8"/>
    <n v="49.8"/>
    <x v="69"/>
    <x v="74"/>
    <x v="2"/>
    <x v="0"/>
    <x v="0"/>
    <x v="0"/>
    <x v="3"/>
    <n v="1"/>
    <x v="10"/>
    <x v="2"/>
  </r>
  <r>
    <x v="1904"/>
    <x v="12"/>
    <x v="9"/>
    <n v="32.6"/>
    <n v="163"/>
    <x v="69"/>
    <x v="74"/>
    <x v="2"/>
    <x v="0"/>
    <x v="0"/>
    <x v="0"/>
    <x v="3"/>
    <n v="1"/>
    <x v="10"/>
    <x v="2"/>
  </r>
  <r>
    <x v="1905"/>
    <x v="9"/>
    <x v="1"/>
    <n v="40.1"/>
    <n v="80.2"/>
    <x v="69"/>
    <x v="67"/>
    <x v="1"/>
    <x v="1"/>
    <x v="2"/>
    <x v="0"/>
    <x v="3"/>
    <n v="3"/>
    <x v="10"/>
    <x v="1"/>
  </r>
  <r>
    <x v="1906"/>
    <x v="10"/>
    <x v="1"/>
    <n v="49.4"/>
    <n v="98.8"/>
    <x v="69"/>
    <x v="64"/>
    <x v="1"/>
    <x v="1"/>
    <x v="0"/>
    <x v="0"/>
    <x v="3"/>
    <n v="2"/>
    <x v="10"/>
    <x v="1"/>
  </r>
  <r>
    <x v="1907"/>
    <x v="2"/>
    <x v="0"/>
    <n v="67.3"/>
    <n v="67.3"/>
    <x v="69"/>
    <x v="74"/>
    <x v="2"/>
    <x v="0"/>
    <x v="2"/>
    <x v="0"/>
    <x v="3"/>
    <n v="1"/>
    <x v="10"/>
    <x v="2"/>
  </r>
  <r>
    <x v="1908"/>
    <x v="18"/>
    <x v="12"/>
    <n v="44.5"/>
    <n v="178"/>
    <x v="69"/>
    <x v="67"/>
    <x v="0"/>
    <x v="1"/>
    <x v="0"/>
    <x v="0"/>
    <x v="3"/>
    <n v="3"/>
    <x v="10"/>
    <x v="0"/>
  </r>
  <r>
    <x v="1909"/>
    <x v="6"/>
    <x v="5"/>
    <n v="111.1"/>
    <n v="1222.0999999999999"/>
    <x v="69"/>
    <x v="74"/>
    <x v="2"/>
    <x v="4"/>
    <x v="0"/>
    <x v="0"/>
    <x v="3"/>
    <n v="1"/>
    <x v="10"/>
    <x v="2"/>
  </r>
  <r>
    <x v="1910"/>
    <x v="8"/>
    <x v="2"/>
    <n v="19.7"/>
    <n v="59.099999999999994"/>
    <x v="69"/>
    <x v="74"/>
    <x v="2"/>
    <x v="4"/>
    <x v="4"/>
    <x v="0"/>
    <x v="3"/>
    <n v="1"/>
    <x v="10"/>
    <x v="2"/>
  </r>
  <r>
    <x v="1911"/>
    <x v="1"/>
    <x v="0"/>
    <n v="40.299999999999997"/>
    <n v="40.299999999999997"/>
    <x v="69"/>
    <x v="74"/>
    <x v="3"/>
    <x v="1"/>
    <x v="0"/>
    <x v="0"/>
    <x v="3"/>
    <n v="1"/>
    <x v="10"/>
    <x v="3"/>
  </r>
  <r>
    <x v="1912"/>
    <x v="6"/>
    <x v="1"/>
    <n v="108.8"/>
    <n v="217.6"/>
    <x v="69"/>
    <x v="69"/>
    <x v="1"/>
    <x v="0"/>
    <x v="2"/>
    <x v="0"/>
    <x v="6"/>
    <n v="5"/>
    <x v="10"/>
    <x v="1"/>
  </r>
  <r>
    <x v="1913"/>
    <x v="8"/>
    <x v="2"/>
    <n v="48.2"/>
    <n v="144.60000000000002"/>
    <x v="69"/>
    <x v="69"/>
    <x v="2"/>
    <x v="4"/>
    <x v="0"/>
    <x v="0"/>
    <x v="7"/>
    <n v="5"/>
    <x v="10"/>
    <x v="2"/>
  </r>
  <r>
    <x v="1914"/>
    <x v="2"/>
    <x v="2"/>
    <n v="104.7"/>
    <n v="314.10000000000002"/>
    <x v="69"/>
    <x v="64"/>
    <x v="2"/>
    <x v="0"/>
    <x v="1"/>
    <x v="0"/>
    <x v="7"/>
    <n v="2"/>
    <x v="10"/>
    <x v="2"/>
  </r>
  <r>
    <x v="1915"/>
    <x v="1"/>
    <x v="1"/>
    <n v="80.599999999999994"/>
    <n v="161.19999999999999"/>
    <x v="69"/>
    <x v="71"/>
    <x v="2"/>
    <x v="1"/>
    <x v="0"/>
    <x v="0"/>
    <x v="8"/>
    <n v="0"/>
    <x v="10"/>
    <x v="2"/>
  </r>
  <r>
    <x v="1916"/>
    <x v="6"/>
    <x v="0"/>
    <n v="65.5"/>
    <n v="65.5"/>
    <x v="69"/>
    <x v="64"/>
    <x v="3"/>
    <x v="1"/>
    <x v="0"/>
    <x v="0"/>
    <x v="8"/>
    <n v="2"/>
    <x v="10"/>
    <x v="3"/>
  </r>
  <r>
    <x v="1917"/>
    <x v="9"/>
    <x v="2"/>
    <n v="61.4"/>
    <n v="184.2"/>
    <x v="69"/>
    <x v="64"/>
    <x v="2"/>
    <x v="4"/>
    <x v="2"/>
    <x v="0"/>
    <x v="8"/>
    <n v="2"/>
    <x v="10"/>
    <x v="2"/>
  </r>
  <r>
    <x v="1918"/>
    <x v="0"/>
    <x v="0"/>
    <n v="12.5"/>
    <n v="12.5"/>
    <x v="70"/>
    <x v="72"/>
    <x v="2"/>
    <x v="0"/>
    <x v="1"/>
    <x v="0"/>
    <x v="8"/>
    <n v="3"/>
    <x v="10"/>
    <x v="2"/>
  </r>
  <r>
    <x v="1919"/>
    <x v="4"/>
    <x v="12"/>
    <n v="35.1"/>
    <n v="140.4"/>
    <x v="70"/>
    <x v="64"/>
    <x v="1"/>
    <x v="2"/>
    <x v="1"/>
    <x v="0"/>
    <x v="17"/>
    <n v="1"/>
    <x v="10"/>
    <x v="1"/>
  </r>
  <r>
    <x v="1920"/>
    <x v="5"/>
    <x v="1"/>
    <n v="55.7"/>
    <n v="111.4"/>
    <x v="70"/>
    <x v="64"/>
    <x v="1"/>
    <x v="0"/>
    <x v="1"/>
    <x v="0"/>
    <x v="26"/>
    <n v="1"/>
    <x v="10"/>
    <x v="1"/>
  </r>
  <r>
    <x v="1921"/>
    <x v="7"/>
    <x v="1"/>
    <n v="57.7"/>
    <n v="115.4"/>
    <x v="70"/>
    <x v="67"/>
    <x v="1"/>
    <x v="4"/>
    <x v="1"/>
    <x v="0"/>
    <x v="9"/>
    <n v="2"/>
    <x v="10"/>
    <x v="1"/>
  </r>
  <r>
    <x v="1922"/>
    <x v="2"/>
    <x v="13"/>
    <n v="85.7"/>
    <n v="514.20000000000005"/>
    <x v="70"/>
    <x v="64"/>
    <x v="1"/>
    <x v="3"/>
    <x v="2"/>
    <x v="0"/>
    <x v="9"/>
    <n v="1"/>
    <x v="10"/>
    <x v="1"/>
  </r>
  <r>
    <x v="1923"/>
    <x v="2"/>
    <x v="2"/>
    <n v="86.9"/>
    <n v="260.70000000000005"/>
    <x v="70"/>
    <x v="67"/>
    <x v="2"/>
    <x v="1"/>
    <x v="0"/>
    <x v="0"/>
    <x v="11"/>
    <n v="2"/>
    <x v="10"/>
    <x v="2"/>
  </r>
  <r>
    <x v="1924"/>
    <x v="18"/>
    <x v="1"/>
    <n v="46.4"/>
    <n v="92.8"/>
    <x v="70"/>
    <x v="72"/>
    <x v="2"/>
    <x v="4"/>
    <x v="0"/>
    <x v="0"/>
    <x v="11"/>
    <n v="3"/>
    <x v="10"/>
    <x v="2"/>
  </r>
  <r>
    <x v="1925"/>
    <x v="5"/>
    <x v="2"/>
    <n v="25.4"/>
    <n v="76.199999999999989"/>
    <x v="70"/>
    <x v="74"/>
    <x v="2"/>
    <x v="2"/>
    <x v="2"/>
    <x v="0"/>
    <x v="18"/>
    <n v="0"/>
    <x v="10"/>
    <x v="2"/>
  </r>
  <r>
    <x v="1926"/>
    <x v="10"/>
    <x v="2"/>
    <n v="47.8"/>
    <n v="143.39999999999998"/>
    <x v="70"/>
    <x v="74"/>
    <x v="0"/>
    <x v="2"/>
    <x v="2"/>
    <x v="0"/>
    <x v="19"/>
    <n v="0"/>
    <x v="10"/>
    <x v="0"/>
  </r>
  <r>
    <x v="1927"/>
    <x v="8"/>
    <x v="10"/>
    <n v="18.399999999999999"/>
    <n v="349.59999999999997"/>
    <x v="70"/>
    <x v="67"/>
    <x v="3"/>
    <x v="2"/>
    <x v="0"/>
    <x v="0"/>
    <x v="20"/>
    <n v="2"/>
    <x v="10"/>
    <x v="3"/>
  </r>
  <r>
    <x v="1928"/>
    <x v="12"/>
    <x v="2"/>
    <n v="65.5"/>
    <n v="196.5"/>
    <x v="70"/>
    <x v="78"/>
    <x v="2"/>
    <x v="0"/>
    <x v="0"/>
    <x v="0"/>
    <x v="21"/>
    <n v="8"/>
    <x v="10"/>
    <x v="2"/>
  </r>
  <r>
    <x v="1929"/>
    <x v="10"/>
    <x v="1"/>
    <n v="50.6"/>
    <n v="101.2"/>
    <x v="70"/>
    <x v="72"/>
    <x v="1"/>
    <x v="2"/>
    <x v="4"/>
    <x v="0"/>
    <x v="21"/>
    <n v="3"/>
    <x v="10"/>
    <x v="1"/>
  </r>
  <r>
    <x v="1930"/>
    <x v="3"/>
    <x v="9"/>
    <n v="69"/>
    <n v="345"/>
    <x v="70"/>
    <x v="69"/>
    <x v="1"/>
    <x v="3"/>
    <x v="0"/>
    <x v="0"/>
    <x v="21"/>
    <n v="4"/>
    <x v="10"/>
    <x v="1"/>
  </r>
  <r>
    <x v="1931"/>
    <x v="9"/>
    <x v="8"/>
    <n v="51.1"/>
    <n v="408.8"/>
    <x v="70"/>
    <x v="67"/>
    <x v="2"/>
    <x v="0"/>
    <x v="0"/>
    <x v="0"/>
    <x v="1"/>
    <n v="2"/>
    <x v="10"/>
    <x v="2"/>
  </r>
  <r>
    <x v="1932"/>
    <x v="9"/>
    <x v="0"/>
    <n v="36.1"/>
    <n v="36.1"/>
    <x v="70"/>
    <x v="64"/>
    <x v="2"/>
    <x v="0"/>
    <x v="2"/>
    <x v="0"/>
    <x v="34"/>
    <n v="1"/>
    <x v="10"/>
    <x v="2"/>
  </r>
  <r>
    <x v="1933"/>
    <x v="14"/>
    <x v="0"/>
    <n v="18.7"/>
    <n v="18.7"/>
    <x v="70"/>
    <x v="64"/>
    <x v="1"/>
    <x v="0"/>
    <x v="0"/>
    <x v="0"/>
    <x v="3"/>
    <n v="1"/>
    <x v="10"/>
    <x v="1"/>
  </r>
  <r>
    <x v="1934"/>
    <x v="17"/>
    <x v="0"/>
    <n v="30.1"/>
    <n v="30.1"/>
    <x v="70"/>
    <x v="72"/>
    <x v="2"/>
    <x v="3"/>
    <x v="1"/>
    <x v="0"/>
    <x v="3"/>
    <n v="3"/>
    <x v="10"/>
    <x v="2"/>
  </r>
  <r>
    <x v="1935"/>
    <x v="8"/>
    <x v="0"/>
    <n v="16.3"/>
    <n v="16.3"/>
    <x v="70"/>
    <x v="64"/>
    <x v="1"/>
    <x v="3"/>
    <x v="0"/>
    <x v="0"/>
    <x v="3"/>
    <n v="1"/>
    <x v="10"/>
    <x v="1"/>
  </r>
  <r>
    <x v="1936"/>
    <x v="1"/>
    <x v="2"/>
    <n v="63.8"/>
    <n v="191.39999999999998"/>
    <x v="70"/>
    <x v="76"/>
    <x v="2"/>
    <x v="2"/>
    <x v="1"/>
    <x v="0"/>
    <x v="3"/>
    <n v="5"/>
    <x v="10"/>
    <x v="2"/>
  </r>
  <r>
    <x v="1937"/>
    <x v="1"/>
    <x v="3"/>
    <n v="73.900000000000006"/>
    <n v="517.30000000000007"/>
    <x v="70"/>
    <x v="74"/>
    <x v="2"/>
    <x v="0"/>
    <x v="1"/>
    <x v="0"/>
    <x v="3"/>
    <n v="0"/>
    <x v="10"/>
    <x v="2"/>
  </r>
  <r>
    <x v="1938"/>
    <x v="0"/>
    <x v="1"/>
    <n v="20.2"/>
    <n v="40.4"/>
    <x v="70"/>
    <x v="64"/>
    <x v="1"/>
    <x v="0"/>
    <x v="1"/>
    <x v="0"/>
    <x v="3"/>
    <n v="1"/>
    <x v="10"/>
    <x v="1"/>
  </r>
  <r>
    <x v="1939"/>
    <x v="11"/>
    <x v="5"/>
    <n v="29.5"/>
    <n v="324.5"/>
    <x v="70"/>
    <x v="64"/>
    <x v="1"/>
    <x v="0"/>
    <x v="0"/>
    <x v="0"/>
    <x v="3"/>
    <n v="1"/>
    <x v="10"/>
    <x v="1"/>
  </r>
  <r>
    <x v="1940"/>
    <x v="15"/>
    <x v="3"/>
    <n v="37.9"/>
    <n v="265.3"/>
    <x v="70"/>
    <x v="64"/>
    <x v="1"/>
    <x v="1"/>
    <x v="0"/>
    <x v="0"/>
    <x v="3"/>
    <n v="1"/>
    <x v="10"/>
    <x v="1"/>
  </r>
  <r>
    <x v="1941"/>
    <x v="2"/>
    <x v="0"/>
    <n v="56.5"/>
    <n v="56.5"/>
    <x v="70"/>
    <x v="64"/>
    <x v="2"/>
    <x v="2"/>
    <x v="1"/>
    <x v="0"/>
    <x v="3"/>
    <n v="1"/>
    <x v="10"/>
    <x v="2"/>
  </r>
  <r>
    <x v="1942"/>
    <x v="2"/>
    <x v="1"/>
    <n v="66.900000000000006"/>
    <n v="133.80000000000001"/>
    <x v="70"/>
    <x v="73"/>
    <x v="1"/>
    <x v="1"/>
    <x v="4"/>
    <x v="0"/>
    <x v="25"/>
    <n v="6"/>
    <x v="10"/>
    <x v="1"/>
  </r>
  <r>
    <x v="1943"/>
    <x v="2"/>
    <x v="9"/>
    <n v="51.9"/>
    <n v="259.5"/>
    <x v="70"/>
    <x v="72"/>
    <x v="1"/>
    <x v="1"/>
    <x v="0"/>
    <x v="0"/>
    <x v="7"/>
    <n v="3"/>
    <x v="10"/>
    <x v="1"/>
  </r>
  <r>
    <x v="1944"/>
    <x v="2"/>
    <x v="1"/>
    <n v="75.599999999999994"/>
    <n v="151.19999999999999"/>
    <x v="70"/>
    <x v="72"/>
    <x v="1"/>
    <x v="1"/>
    <x v="0"/>
    <x v="0"/>
    <x v="8"/>
    <n v="3"/>
    <x v="10"/>
    <x v="1"/>
  </r>
  <r>
    <x v="1945"/>
    <x v="12"/>
    <x v="13"/>
    <n v="47.3"/>
    <n v="283.79999999999995"/>
    <x v="70"/>
    <x v="79"/>
    <x v="1"/>
    <x v="0"/>
    <x v="0"/>
    <x v="0"/>
    <x v="8"/>
    <n v="11"/>
    <x v="10"/>
    <x v="1"/>
  </r>
  <r>
    <x v="1946"/>
    <x v="4"/>
    <x v="0"/>
    <n v="20.6"/>
    <n v="20.6"/>
    <x v="70"/>
    <x v="64"/>
    <x v="0"/>
    <x v="0"/>
    <x v="1"/>
    <x v="0"/>
    <x v="8"/>
    <n v="1"/>
    <x v="10"/>
    <x v="0"/>
  </r>
  <r>
    <x v="1947"/>
    <x v="6"/>
    <x v="2"/>
    <n v="49.7"/>
    <n v="149.10000000000002"/>
    <x v="70"/>
    <x v="67"/>
    <x v="1"/>
    <x v="0"/>
    <x v="1"/>
    <x v="0"/>
    <x v="8"/>
    <n v="2"/>
    <x v="10"/>
    <x v="1"/>
  </r>
  <r>
    <x v="1948"/>
    <x v="3"/>
    <x v="0"/>
    <n v="37.9"/>
    <n v="37.9"/>
    <x v="70"/>
    <x v="67"/>
    <x v="2"/>
    <x v="0"/>
    <x v="0"/>
    <x v="0"/>
    <x v="8"/>
    <n v="2"/>
    <x v="10"/>
    <x v="2"/>
  </r>
  <r>
    <x v="1949"/>
    <x v="13"/>
    <x v="20"/>
    <n v="32"/>
    <n v="480"/>
    <x v="70"/>
    <x v="67"/>
    <x v="2"/>
    <x v="4"/>
    <x v="0"/>
    <x v="0"/>
    <x v="11"/>
    <n v="2"/>
    <x v="10"/>
    <x v="2"/>
  </r>
  <r>
    <x v="1950"/>
    <x v="10"/>
    <x v="16"/>
    <n v="38.5"/>
    <n v="693"/>
    <x v="71"/>
    <x v="67"/>
    <x v="1"/>
    <x v="0"/>
    <x v="2"/>
    <x v="0"/>
    <x v="11"/>
    <n v="1"/>
    <x v="10"/>
    <x v="1"/>
  </r>
  <r>
    <x v="1951"/>
    <x v="0"/>
    <x v="12"/>
    <n v="11.7"/>
    <n v="46.8"/>
    <x v="71"/>
    <x v="72"/>
    <x v="2"/>
    <x v="1"/>
    <x v="0"/>
    <x v="0"/>
    <x v="20"/>
    <n v="2"/>
    <x v="10"/>
    <x v="2"/>
  </r>
  <r>
    <x v="1952"/>
    <x v="3"/>
    <x v="13"/>
    <n v="83.8"/>
    <n v="502.79999999999995"/>
    <x v="71"/>
    <x v="67"/>
    <x v="1"/>
    <x v="0"/>
    <x v="0"/>
    <x v="0"/>
    <x v="21"/>
    <n v="1"/>
    <x v="10"/>
    <x v="1"/>
  </r>
  <r>
    <x v="1953"/>
    <x v="0"/>
    <x v="3"/>
    <n v="14"/>
    <n v="98"/>
    <x v="71"/>
    <x v="69"/>
    <x v="1"/>
    <x v="0"/>
    <x v="1"/>
    <x v="0"/>
    <x v="22"/>
    <n v="3"/>
    <x v="10"/>
    <x v="1"/>
  </r>
  <r>
    <x v="1954"/>
    <x v="16"/>
    <x v="12"/>
    <n v="77.3"/>
    <n v="309.2"/>
    <x v="71"/>
    <x v="72"/>
    <x v="2"/>
    <x v="4"/>
    <x v="2"/>
    <x v="0"/>
    <x v="3"/>
    <n v="2"/>
    <x v="10"/>
    <x v="2"/>
  </r>
  <r>
    <x v="1955"/>
    <x v="2"/>
    <x v="1"/>
    <n v="76.900000000000006"/>
    <n v="153.80000000000001"/>
    <x v="71"/>
    <x v="76"/>
    <x v="2"/>
    <x v="0"/>
    <x v="1"/>
    <x v="0"/>
    <x v="3"/>
    <n v="4"/>
    <x v="10"/>
    <x v="2"/>
  </r>
  <r>
    <x v="1956"/>
    <x v="1"/>
    <x v="0"/>
    <n v="48"/>
    <n v="48"/>
    <x v="71"/>
    <x v="72"/>
    <x v="2"/>
    <x v="1"/>
    <x v="2"/>
    <x v="0"/>
    <x v="3"/>
    <n v="2"/>
    <x v="10"/>
    <x v="2"/>
  </r>
  <r>
    <x v="1957"/>
    <x v="2"/>
    <x v="0"/>
    <n v="94.5"/>
    <n v="94.5"/>
    <x v="71"/>
    <x v="69"/>
    <x v="1"/>
    <x v="1"/>
    <x v="1"/>
    <x v="0"/>
    <x v="3"/>
    <n v="3"/>
    <x v="10"/>
    <x v="1"/>
  </r>
  <r>
    <x v="1958"/>
    <x v="10"/>
    <x v="2"/>
    <n v="58.4"/>
    <n v="175.2"/>
    <x v="71"/>
    <x v="72"/>
    <x v="2"/>
    <x v="1"/>
    <x v="2"/>
    <x v="0"/>
    <x v="3"/>
    <n v="2"/>
    <x v="10"/>
    <x v="2"/>
  </r>
  <r>
    <x v="1959"/>
    <x v="7"/>
    <x v="15"/>
    <n v="42.2"/>
    <n v="548.6"/>
    <x v="71"/>
    <x v="64"/>
    <x v="1"/>
    <x v="0"/>
    <x v="0"/>
    <x v="0"/>
    <x v="25"/>
    <n v="0"/>
    <x v="10"/>
    <x v="1"/>
  </r>
  <r>
    <x v="1960"/>
    <x v="6"/>
    <x v="1"/>
    <n v="152.19999999999999"/>
    <n v="304.39999999999998"/>
    <x v="71"/>
    <x v="67"/>
    <x v="1"/>
    <x v="4"/>
    <x v="1"/>
    <x v="0"/>
    <x v="25"/>
    <n v="1"/>
    <x v="10"/>
    <x v="1"/>
  </r>
  <r>
    <x v="1961"/>
    <x v="6"/>
    <x v="25"/>
    <n v="72"/>
    <n v="1728"/>
    <x v="71"/>
    <x v="67"/>
    <x v="1"/>
    <x v="0"/>
    <x v="1"/>
    <x v="0"/>
    <x v="6"/>
    <n v="1"/>
    <x v="10"/>
    <x v="1"/>
  </r>
  <r>
    <x v="1962"/>
    <x v="1"/>
    <x v="44"/>
    <n v="70.900000000000006"/>
    <n v="1630.7"/>
    <x v="71"/>
    <x v="67"/>
    <x v="2"/>
    <x v="2"/>
    <x v="0"/>
    <x v="0"/>
    <x v="8"/>
    <n v="1"/>
    <x v="10"/>
    <x v="2"/>
  </r>
  <r>
    <x v="1963"/>
    <x v="2"/>
    <x v="1"/>
    <n v="53.7"/>
    <n v="107.4"/>
    <x v="71"/>
    <x v="67"/>
    <x v="1"/>
    <x v="2"/>
    <x v="2"/>
    <x v="0"/>
    <x v="8"/>
    <n v="1"/>
    <x v="10"/>
    <x v="1"/>
  </r>
  <r>
    <x v="1964"/>
    <x v="9"/>
    <x v="12"/>
    <n v="42.9"/>
    <n v="171.6"/>
    <x v="71"/>
    <x v="67"/>
    <x v="2"/>
    <x v="2"/>
    <x v="4"/>
    <x v="0"/>
    <x v="9"/>
    <n v="1"/>
    <x v="10"/>
    <x v="2"/>
  </r>
  <r>
    <x v="1965"/>
    <x v="2"/>
    <x v="3"/>
    <n v="107.5"/>
    <n v="752.5"/>
    <x v="71"/>
    <x v="67"/>
    <x v="1"/>
    <x v="1"/>
    <x v="0"/>
    <x v="0"/>
    <x v="11"/>
    <n v="1"/>
    <x v="10"/>
    <x v="1"/>
  </r>
  <r>
    <x v="1966"/>
    <x v="17"/>
    <x v="27"/>
    <n v="21.5"/>
    <n v="344"/>
    <x v="71"/>
    <x v="67"/>
    <x v="1"/>
    <x v="1"/>
    <x v="1"/>
    <x v="0"/>
    <x v="32"/>
    <n v="1"/>
    <x v="10"/>
    <x v="1"/>
  </r>
  <r>
    <x v="1967"/>
    <x v="3"/>
    <x v="9"/>
    <n v="85.3"/>
    <n v="426.5"/>
    <x v="71"/>
    <x v="72"/>
    <x v="2"/>
    <x v="3"/>
    <x v="0"/>
    <x v="0"/>
    <x v="18"/>
    <n v="2"/>
    <x v="10"/>
    <x v="2"/>
  </r>
  <r>
    <x v="1968"/>
    <x v="7"/>
    <x v="9"/>
    <n v="80.8"/>
    <n v="404"/>
    <x v="71"/>
    <x v="75"/>
    <x v="3"/>
    <x v="1"/>
    <x v="1"/>
    <x v="0"/>
    <x v="19"/>
    <n v="8"/>
    <x v="10"/>
    <x v="3"/>
  </r>
  <r>
    <x v="1969"/>
    <x v="2"/>
    <x v="2"/>
    <n v="123.1"/>
    <n v="369.29999999999995"/>
    <x v="71"/>
    <x v="72"/>
    <x v="0"/>
    <x v="2"/>
    <x v="0"/>
    <x v="0"/>
    <x v="21"/>
    <n v="2"/>
    <x v="10"/>
    <x v="0"/>
  </r>
  <r>
    <x v="1970"/>
    <x v="8"/>
    <x v="1"/>
    <n v="36.9"/>
    <n v="73.8"/>
    <x v="71"/>
    <x v="72"/>
    <x v="2"/>
    <x v="2"/>
    <x v="4"/>
    <x v="0"/>
    <x v="51"/>
    <n v="2"/>
    <x v="10"/>
    <x v="2"/>
  </r>
  <r>
    <x v="1971"/>
    <x v="11"/>
    <x v="9"/>
    <n v="40"/>
    <n v="200"/>
    <x v="71"/>
    <x v="67"/>
    <x v="1"/>
    <x v="0"/>
    <x v="0"/>
    <x v="0"/>
    <x v="1"/>
    <n v="1"/>
    <x v="10"/>
    <x v="1"/>
  </r>
  <r>
    <x v="1972"/>
    <x v="6"/>
    <x v="2"/>
    <n v="55.5"/>
    <n v="166.5"/>
    <x v="71"/>
    <x v="67"/>
    <x v="1"/>
    <x v="4"/>
    <x v="2"/>
    <x v="0"/>
    <x v="1"/>
    <n v="1"/>
    <x v="10"/>
    <x v="1"/>
  </r>
  <r>
    <x v="1973"/>
    <x v="0"/>
    <x v="12"/>
    <n v="20.5"/>
    <n v="82"/>
    <x v="71"/>
    <x v="76"/>
    <x v="2"/>
    <x v="4"/>
    <x v="0"/>
    <x v="0"/>
    <x v="1"/>
    <n v="4"/>
    <x v="10"/>
    <x v="2"/>
  </r>
  <r>
    <x v="1974"/>
    <x v="18"/>
    <x v="12"/>
    <n v="50.1"/>
    <n v="200.4"/>
    <x v="71"/>
    <x v="67"/>
    <x v="2"/>
    <x v="4"/>
    <x v="0"/>
    <x v="0"/>
    <x v="1"/>
    <n v="1"/>
    <x v="10"/>
    <x v="2"/>
  </r>
  <r>
    <x v="1975"/>
    <x v="9"/>
    <x v="0"/>
    <n v="35.9"/>
    <n v="35.9"/>
    <x v="71"/>
    <x v="72"/>
    <x v="1"/>
    <x v="1"/>
    <x v="2"/>
    <x v="0"/>
    <x v="1"/>
    <n v="2"/>
    <x v="10"/>
    <x v="1"/>
  </r>
  <r>
    <x v="1976"/>
    <x v="13"/>
    <x v="12"/>
    <n v="29.4"/>
    <n v="117.6"/>
    <x v="72"/>
    <x v="72"/>
    <x v="1"/>
    <x v="2"/>
    <x v="2"/>
    <x v="0"/>
    <x v="33"/>
    <n v="1"/>
    <x v="10"/>
    <x v="1"/>
  </r>
  <r>
    <x v="1977"/>
    <x v="8"/>
    <x v="9"/>
    <n v="29.1"/>
    <n v="145.5"/>
    <x v="72"/>
    <x v="80"/>
    <x v="3"/>
    <x v="2"/>
    <x v="1"/>
    <x v="0"/>
    <x v="33"/>
    <n v="8"/>
    <x v="10"/>
    <x v="3"/>
  </r>
  <r>
    <x v="1978"/>
    <x v="8"/>
    <x v="2"/>
    <n v="33.5"/>
    <n v="100.5"/>
    <x v="72"/>
    <x v="81"/>
    <x v="1"/>
    <x v="0"/>
    <x v="2"/>
    <x v="0"/>
    <x v="22"/>
    <n v="12"/>
    <x v="10"/>
    <x v="1"/>
  </r>
  <r>
    <x v="1979"/>
    <x v="4"/>
    <x v="7"/>
    <n v="36"/>
    <n v="360"/>
    <x v="72"/>
    <x v="67"/>
    <x v="1"/>
    <x v="3"/>
    <x v="2"/>
    <x v="0"/>
    <x v="3"/>
    <n v="0"/>
    <x v="10"/>
    <x v="1"/>
  </r>
  <r>
    <x v="1980"/>
    <x v="16"/>
    <x v="2"/>
    <n v="57.3"/>
    <n v="171.89999999999998"/>
    <x v="72"/>
    <x v="73"/>
    <x v="2"/>
    <x v="0"/>
    <x v="2"/>
    <x v="0"/>
    <x v="3"/>
    <n v="4"/>
    <x v="10"/>
    <x v="2"/>
  </r>
  <r>
    <x v="1981"/>
    <x v="1"/>
    <x v="0"/>
    <n v="81.400000000000006"/>
    <n v="81.400000000000006"/>
    <x v="72"/>
    <x v="72"/>
    <x v="2"/>
    <x v="2"/>
    <x v="2"/>
    <x v="0"/>
    <x v="3"/>
    <n v="1"/>
    <x v="10"/>
    <x v="2"/>
  </r>
  <r>
    <x v="1982"/>
    <x v="10"/>
    <x v="1"/>
    <n v="35.299999999999997"/>
    <n v="70.599999999999994"/>
    <x v="72"/>
    <x v="73"/>
    <x v="1"/>
    <x v="0"/>
    <x v="2"/>
    <x v="0"/>
    <x v="3"/>
    <n v="4"/>
    <x v="10"/>
    <x v="1"/>
  </r>
  <r>
    <x v="1983"/>
    <x v="3"/>
    <x v="0"/>
    <n v="36.1"/>
    <n v="36.1"/>
    <x v="72"/>
    <x v="72"/>
    <x v="2"/>
    <x v="4"/>
    <x v="0"/>
    <x v="0"/>
    <x v="3"/>
    <n v="1"/>
    <x v="10"/>
    <x v="2"/>
  </r>
  <r>
    <x v="1984"/>
    <x v="1"/>
    <x v="1"/>
    <n v="36.700000000000003"/>
    <n v="73.400000000000006"/>
    <x v="72"/>
    <x v="69"/>
    <x v="2"/>
    <x v="0"/>
    <x v="2"/>
    <x v="0"/>
    <x v="3"/>
    <n v="2"/>
    <x v="10"/>
    <x v="2"/>
  </r>
  <r>
    <x v="1985"/>
    <x v="10"/>
    <x v="0"/>
    <n v="20.9"/>
    <n v="20.9"/>
    <x v="72"/>
    <x v="69"/>
    <x v="2"/>
    <x v="0"/>
    <x v="4"/>
    <x v="0"/>
    <x v="3"/>
    <n v="2"/>
    <x v="10"/>
    <x v="2"/>
  </r>
  <r>
    <x v="1986"/>
    <x v="12"/>
    <x v="2"/>
    <n v="58.8"/>
    <n v="176.39999999999998"/>
    <x v="72"/>
    <x v="73"/>
    <x v="1"/>
    <x v="0"/>
    <x v="2"/>
    <x v="0"/>
    <x v="25"/>
    <n v="4"/>
    <x v="10"/>
    <x v="1"/>
  </r>
  <r>
    <x v="1987"/>
    <x v="2"/>
    <x v="2"/>
    <n v="97.6"/>
    <n v="292.79999999999995"/>
    <x v="73"/>
    <x v="76"/>
    <x v="0"/>
    <x v="0"/>
    <x v="0"/>
    <x v="0"/>
    <x v="6"/>
    <n v="2"/>
    <x v="10"/>
    <x v="0"/>
  </r>
  <r>
    <x v="1988"/>
    <x v="1"/>
    <x v="1"/>
    <n v="58.7"/>
    <n v="117.4"/>
    <x v="73"/>
    <x v="73"/>
    <x v="2"/>
    <x v="0"/>
    <x v="1"/>
    <x v="0"/>
    <x v="6"/>
    <n v="3"/>
    <x v="10"/>
    <x v="2"/>
  </r>
  <r>
    <x v="1989"/>
    <x v="6"/>
    <x v="9"/>
    <n v="71.900000000000006"/>
    <n v="359.5"/>
    <x v="73"/>
    <x v="69"/>
    <x v="0"/>
    <x v="0"/>
    <x v="1"/>
    <x v="0"/>
    <x v="6"/>
    <n v="1"/>
    <x v="10"/>
    <x v="0"/>
  </r>
  <r>
    <x v="1990"/>
    <x v="1"/>
    <x v="1"/>
    <n v="62.4"/>
    <n v="124.8"/>
    <x v="73"/>
    <x v="76"/>
    <x v="0"/>
    <x v="0"/>
    <x v="1"/>
    <x v="0"/>
    <x v="8"/>
    <n v="2"/>
    <x v="10"/>
    <x v="0"/>
  </r>
  <r>
    <x v="1991"/>
    <x v="6"/>
    <x v="27"/>
    <n v="53.8"/>
    <n v="860.8"/>
    <x v="73"/>
    <x v="69"/>
    <x v="2"/>
    <x v="1"/>
    <x v="0"/>
    <x v="0"/>
    <x v="8"/>
    <n v="1"/>
    <x v="10"/>
    <x v="2"/>
  </r>
  <r>
    <x v="1992"/>
    <x v="9"/>
    <x v="0"/>
    <n v="43.8"/>
    <n v="43.8"/>
    <x v="73"/>
    <x v="80"/>
    <x v="2"/>
    <x v="0"/>
    <x v="2"/>
    <x v="0"/>
    <x v="8"/>
    <n v="7"/>
    <x v="10"/>
    <x v="2"/>
  </r>
  <r>
    <x v="1993"/>
    <x v="5"/>
    <x v="2"/>
    <n v="53.6"/>
    <n v="160.80000000000001"/>
    <x v="73"/>
    <x v="69"/>
    <x v="1"/>
    <x v="3"/>
    <x v="0"/>
    <x v="0"/>
    <x v="8"/>
    <n v="1"/>
    <x v="10"/>
    <x v="1"/>
  </r>
  <r>
    <x v="1994"/>
    <x v="12"/>
    <x v="1"/>
    <n v="84.3"/>
    <n v="168.6"/>
    <x v="73"/>
    <x v="73"/>
    <x v="1"/>
    <x v="4"/>
    <x v="1"/>
    <x v="0"/>
    <x v="8"/>
    <n v="3"/>
    <x v="10"/>
    <x v="1"/>
  </r>
  <r>
    <x v="1995"/>
    <x v="6"/>
    <x v="11"/>
    <n v="117.9"/>
    <n v="1061.1000000000001"/>
    <x v="73"/>
    <x v="69"/>
    <x v="2"/>
    <x v="1"/>
    <x v="2"/>
    <x v="0"/>
    <x v="8"/>
    <n v="1"/>
    <x v="10"/>
    <x v="2"/>
  </r>
  <r>
    <x v="1996"/>
    <x v="4"/>
    <x v="8"/>
    <n v="30"/>
    <n v="240"/>
    <x v="73"/>
    <x v="69"/>
    <x v="2"/>
    <x v="1"/>
    <x v="0"/>
    <x v="0"/>
    <x v="26"/>
    <n v="1"/>
    <x v="10"/>
    <x v="2"/>
  </r>
  <r>
    <x v="1997"/>
    <x v="14"/>
    <x v="2"/>
    <n v="37.299999999999997"/>
    <n v="111.89999999999999"/>
    <x v="73"/>
    <x v="69"/>
    <x v="1"/>
    <x v="2"/>
    <x v="0"/>
    <x v="0"/>
    <x v="9"/>
    <n v="1"/>
    <x v="10"/>
    <x v="1"/>
  </r>
  <r>
    <x v="1998"/>
    <x v="4"/>
    <x v="11"/>
    <n v="25.1"/>
    <n v="225.9"/>
    <x v="73"/>
    <x v="76"/>
    <x v="1"/>
    <x v="1"/>
    <x v="2"/>
    <x v="0"/>
    <x v="11"/>
    <n v="2"/>
    <x v="10"/>
    <x v="1"/>
  </r>
  <r>
    <x v="1999"/>
    <x v="8"/>
    <x v="5"/>
    <n v="36"/>
    <n v="396"/>
    <x v="73"/>
    <x v="82"/>
    <x v="1"/>
    <x v="1"/>
    <x v="0"/>
    <x v="0"/>
    <x v="18"/>
    <n v="10"/>
    <x v="10"/>
    <x v="1"/>
  </r>
  <r>
    <x v="2000"/>
    <x v="16"/>
    <x v="2"/>
    <n v="48.5"/>
    <n v="145.5"/>
    <x v="73"/>
    <x v="83"/>
    <x v="2"/>
    <x v="1"/>
    <x v="0"/>
    <x v="0"/>
    <x v="19"/>
    <n v="4"/>
    <x v="10"/>
    <x v="2"/>
  </r>
  <r>
    <x v="2001"/>
    <x v="17"/>
    <x v="13"/>
    <n v="21.1"/>
    <n v="126.60000000000001"/>
    <x v="73"/>
    <x v="69"/>
    <x v="1"/>
    <x v="1"/>
    <x v="2"/>
    <x v="0"/>
    <x v="21"/>
    <n v="1"/>
    <x v="10"/>
    <x v="1"/>
  </r>
  <r>
    <x v="2002"/>
    <x v="15"/>
    <x v="21"/>
    <n v="43.2"/>
    <n v="604.80000000000007"/>
    <x v="73"/>
    <x v="69"/>
    <x v="3"/>
    <x v="0"/>
    <x v="1"/>
    <x v="0"/>
    <x v="21"/>
    <n v="1"/>
    <x v="10"/>
    <x v="3"/>
  </r>
  <r>
    <x v="2003"/>
    <x v="9"/>
    <x v="1"/>
    <n v="21.1"/>
    <n v="42.2"/>
    <x v="73"/>
    <x v="69"/>
    <x v="0"/>
    <x v="3"/>
    <x v="1"/>
    <x v="0"/>
    <x v="21"/>
    <n v="1"/>
    <x v="10"/>
    <x v="0"/>
  </r>
  <r>
    <x v="2004"/>
    <x v="6"/>
    <x v="12"/>
    <n v="41.3"/>
    <n v="165.2"/>
    <x v="73"/>
    <x v="76"/>
    <x v="2"/>
    <x v="3"/>
    <x v="2"/>
    <x v="0"/>
    <x v="1"/>
    <n v="2"/>
    <x v="10"/>
    <x v="2"/>
  </r>
  <r>
    <x v="2005"/>
    <x v="8"/>
    <x v="1"/>
    <n v="15.3"/>
    <n v="30.6"/>
    <x v="73"/>
    <x v="73"/>
    <x v="0"/>
    <x v="2"/>
    <x v="2"/>
    <x v="0"/>
    <x v="1"/>
    <n v="3"/>
    <x v="10"/>
    <x v="0"/>
  </r>
  <r>
    <x v="2006"/>
    <x v="1"/>
    <x v="0"/>
    <n v="54.6"/>
    <n v="54.6"/>
    <x v="73"/>
    <x v="76"/>
    <x v="1"/>
    <x v="1"/>
    <x v="1"/>
    <x v="0"/>
    <x v="2"/>
    <n v="2"/>
    <x v="10"/>
    <x v="1"/>
  </r>
  <r>
    <x v="2007"/>
    <x v="8"/>
    <x v="0"/>
    <n v="15.9"/>
    <n v="15.9"/>
    <x v="73"/>
    <x v="69"/>
    <x v="1"/>
    <x v="0"/>
    <x v="1"/>
    <x v="0"/>
    <x v="22"/>
    <n v="1"/>
    <x v="10"/>
    <x v="1"/>
  </r>
  <r>
    <x v="2008"/>
    <x v="9"/>
    <x v="0"/>
    <n v="50.2"/>
    <n v="50.2"/>
    <x v="73"/>
    <x v="76"/>
    <x v="2"/>
    <x v="3"/>
    <x v="2"/>
    <x v="0"/>
    <x v="34"/>
    <n v="2"/>
    <x v="10"/>
    <x v="2"/>
  </r>
  <r>
    <x v="2009"/>
    <x v="11"/>
    <x v="12"/>
    <n v="85.1"/>
    <n v="340.4"/>
    <x v="73"/>
    <x v="69"/>
    <x v="2"/>
    <x v="3"/>
    <x v="4"/>
    <x v="0"/>
    <x v="34"/>
    <n v="1"/>
    <x v="10"/>
    <x v="2"/>
  </r>
  <r>
    <x v="2010"/>
    <x v="11"/>
    <x v="1"/>
    <n v="41.4"/>
    <n v="82.8"/>
    <x v="73"/>
    <x v="69"/>
    <x v="2"/>
    <x v="0"/>
    <x v="2"/>
    <x v="0"/>
    <x v="3"/>
    <n v="1"/>
    <x v="10"/>
    <x v="2"/>
  </r>
  <r>
    <x v="2011"/>
    <x v="4"/>
    <x v="3"/>
    <n v="32.700000000000003"/>
    <n v="228.90000000000003"/>
    <x v="73"/>
    <x v="69"/>
    <x v="2"/>
    <x v="2"/>
    <x v="1"/>
    <x v="0"/>
    <x v="3"/>
    <n v="1"/>
    <x v="10"/>
    <x v="2"/>
  </r>
  <r>
    <x v="2012"/>
    <x v="4"/>
    <x v="1"/>
    <n v="41.6"/>
    <n v="83.2"/>
    <x v="73"/>
    <x v="76"/>
    <x v="1"/>
    <x v="4"/>
    <x v="1"/>
    <x v="0"/>
    <x v="3"/>
    <n v="2"/>
    <x v="10"/>
    <x v="1"/>
  </r>
  <r>
    <x v="2013"/>
    <x v="5"/>
    <x v="12"/>
    <n v="64.8"/>
    <n v="259.2"/>
    <x v="73"/>
    <x v="69"/>
    <x v="0"/>
    <x v="2"/>
    <x v="0"/>
    <x v="0"/>
    <x v="3"/>
    <n v="1"/>
    <x v="10"/>
    <x v="0"/>
  </r>
  <r>
    <x v="2014"/>
    <x v="15"/>
    <x v="1"/>
    <n v="33.6"/>
    <n v="67.2"/>
    <x v="73"/>
    <x v="69"/>
    <x v="1"/>
    <x v="0"/>
    <x v="2"/>
    <x v="0"/>
    <x v="3"/>
    <n v="1"/>
    <x v="10"/>
    <x v="1"/>
  </r>
  <r>
    <x v="2015"/>
    <x v="6"/>
    <x v="2"/>
    <n v="100.7"/>
    <n v="302.10000000000002"/>
    <x v="73"/>
    <x v="69"/>
    <x v="0"/>
    <x v="1"/>
    <x v="0"/>
    <x v="0"/>
    <x v="3"/>
    <n v="1"/>
    <x v="10"/>
    <x v="0"/>
  </r>
  <r>
    <x v="2016"/>
    <x v="4"/>
    <x v="1"/>
    <n v="49.3"/>
    <n v="98.6"/>
    <x v="74"/>
    <x v="73"/>
    <x v="2"/>
    <x v="4"/>
    <x v="2"/>
    <x v="0"/>
    <x v="3"/>
    <n v="2"/>
    <x v="11"/>
    <x v="2"/>
  </r>
  <r>
    <x v="2017"/>
    <x v="2"/>
    <x v="13"/>
    <n v="97"/>
    <n v="582"/>
    <x v="74"/>
    <x v="83"/>
    <x v="1"/>
    <x v="2"/>
    <x v="2"/>
    <x v="0"/>
    <x v="3"/>
    <n v="3"/>
    <x v="11"/>
    <x v="1"/>
  </r>
  <r>
    <x v="2018"/>
    <x v="0"/>
    <x v="13"/>
    <n v="25.2"/>
    <n v="151.19999999999999"/>
    <x v="74"/>
    <x v="83"/>
    <x v="2"/>
    <x v="4"/>
    <x v="2"/>
    <x v="0"/>
    <x v="3"/>
    <n v="3"/>
    <x v="11"/>
    <x v="2"/>
  </r>
  <r>
    <x v="2019"/>
    <x v="0"/>
    <x v="5"/>
    <n v="12.2"/>
    <n v="134.19999999999999"/>
    <x v="74"/>
    <x v="76"/>
    <x v="0"/>
    <x v="0"/>
    <x v="1"/>
    <x v="0"/>
    <x v="3"/>
    <n v="1"/>
    <x v="11"/>
    <x v="0"/>
  </r>
  <r>
    <x v="2020"/>
    <x v="8"/>
    <x v="3"/>
    <n v="38.799999999999997"/>
    <n v="271.59999999999997"/>
    <x v="74"/>
    <x v="73"/>
    <x v="2"/>
    <x v="1"/>
    <x v="1"/>
    <x v="0"/>
    <x v="23"/>
    <n v="2"/>
    <x v="11"/>
    <x v="2"/>
  </r>
  <r>
    <x v="2021"/>
    <x v="2"/>
    <x v="12"/>
    <n v="53.2"/>
    <n v="212.8"/>
    <x v="74"/>
    <x v="76"/>
    <x v="1"/>
    <x v="0"/>
    <x v="2"/>
    <x v="0"/>
    <x v="8"/>
    <n v="1"/>
    <x v="11"/>
    <x v="1"/>
  </r>
  <r>
    <x v="2022"/>
    <x v="6"/>
    <x v="3"/>
    <n v="151"/>
    <n v="1057"/>
    <x v="74"/>
    <x v="76"/>
    <x v="3"/>
    <x v="1"/>
    <x v="1"/>
    <x v="0"/>
    <x v="8"/>
    <n v="1"/>
    <x v="11"/>
    <x v="3"/>
  </r>
  <r>
    <x v="2023"/>
    <x v="1"/>
    <x v="1"/>
    <n v="37.1"/>
    <n v="74.2"/>
    <x v="74"/>
    <x v="76"/>
    <x v="2"/>
    <x v="4"/>
    <x v="0"/>
    <x v="0"/>
    <x v="8"/>
    <n v="1"/>
    <x v="11"/>
    <x v="2"/>
  </r>
  <r>
    <x v="2024"/>
    <x v="5"/>
    <x v="1"/>
    <n v="38.9"/>
    <n v="77.8"/>
    <x v="74"/>
    <x v="76"/>
    <x v="1"/>
    <x v="4"/>
    <x v="0"/>
    <x v="0"/>
    <x v="8"/>
    <n v="1"/>
    <x v="11"/>
    <x v="1"/>
  </r>
  <r>
    <x v="2025"/>
    <x v="10"/>
    <x v="1"/>
    <n v="35.200000000000003"/>
    <n v="70.400000000000006"/>
    <x v="74"/>
    <x v="76"/>
    <x v="1"/>
    <x v="0"/>
    <x v="2"/>
    <x v="0"/>
    <x v="17"/>
    <n v="1"/>
    <x v="11"/>
    <x v="1"/>
  </r>
  <r>
    <x v="2026"/>
    <x v="0"/>
    <x v="1"/>
    <n v="22.3"/>
    <n v="44.6"/>
    <x v="74"/>
    <x v="73"/>
    <x v="2"/>
    <x v="1"/>
    <x v="0"/>
    <x v="0"/>
    <x v="9"/>
    <n v="2"/>
    <x v="11"/>
    <x v="2"/>
  </r>
  <r>
    <x v="2027"/>
    <x v="9"/>
    <x v="0"/>
    <n v="43.3"/>
    <n v="43.3"/>
    <x v="74"/>
    <x v="83"/>
    <x v="2"/>
    <x v="0"/>
    <x v="2"/>
    <x v="0"/>
    <x v="11"/>
    <n v="3"/>
    <x v="11"/>
    <x v="2"/>
  </r>
  <r>
    <x v="2028"/>
    <x v="6"/>
    <x v="13"/>
    <n v="75.900000000000006"/>
    <n v="455.40000000000003"/>
    <x v="74"/>
    <x v="80"/>
    <x v="1"/>
    <x v="0"/>
    <x v="0"/>
    <x v="0"/>
    <x v="11"/>
    <n v="6"/>
    <x v="11"/>
    <x v="1"/>
  </r>
  <r>
    <x v="2029"/>
    <x v="6"/>
    <x v="2"/>
    <n v="78.7"/>
    <n v="236.10000000000002"/>
    <x v="74"/>
    <x v="78"/>
    <x v="2"/>
    <x v="2"/>
    <x v="1"/>
    <x v="0"/>
    <x v="11"/>
    <n v="4"/>
    <x v="11"/>
    <x v="2"/>
  </r>
  <r>
    <x v="2030"/>
    <x v="1"/>
    <x v="0"/>
    <n v="66.3"/>
    <n v="66.3"/>
    <x v="74"/>
    <x v="78"/>
    <x v="2"/>
    <x v="0"/>
    <x v="2"/>
    <x v="0"/>
    <x v="19"/>
    <n v="4"/>
    <x v="11"/>
    <x v="2"/>
  </r>
  <r>
    <x v="2031"/>
    <x v="8"/>
    <x v="1"/>
    <n v="33.6"/>
    <n v="67.2"/>
    <x v="74"/>
    <x v="69"/>
    <x v="1"/>
    <x v="0"/>
    <x v="1"/>
    <x v="0"/>
    <x v="19"/>
    <n v="0"/>
    <x v="11"/>
    <x v="1"/>
  </r>
  <r>
    <x v="2032"/>
    <x v="2"/>
    <x v="3"/>
    <n v="61.4"/>
    <n v="429.8"/>
    <x v="74"/>
    <x v="76"/>
    <x v="1"/>
    <x v="4"/>
    <x v="0"/>
    <x v="0"/>
    <x v="19"/>
    <n v="1"/>
    <x v="11"/>
    <x v="1"/>
  </r>
  <r>
    <x v="2033"/>
    <x v="8"/>
    <x v="1"/>
    <n v="17.5"/>
    <n v="35"/>
    <x v="74"/>
    <x v="83"/>
    <x v="2"/>
    <x v="0"/>
    <x v="0"/>
    <x v="0"/>
    <x v="21"/>
    <n v="3"/>
    <x v="11"/>
    <x v="2"/>
  </r>
  <r>
    <x v="2034"/>
    <x v="8"/>
    <x v="1"/>
    <n v="32.5"/>
    <n v="65"/>
    <x v="74"/>
    <x v="83"/>
    <x v="2"/>
    <x v="1"/>
    <x v="0"/>
    <x v="0"/>
    <x v="21"/>
    <n v="3"/>
    <x v="11"/>
    <x v="2"/>
  </r>
  <r>
    <x v="2035"/>
    <x v="4"/>
    <x v="0"/>
    <n v="34.6"/>
    <n v="34.6"/>
    <x v="74"/>
    <x v="76"/>
    <x v="2"/>
    <x v="4"/>
    <x v="0"/>
    <x v="0"/>
    <x v="21"/>
    <n v="1"/>
    <x v="11"/>
    <x v="2"/>
  </r>
  <r>
    <x v="2036"/>
    <x v="2"/>
    <x v="0"/>
    <n v="75.900000000000006"/>
    <n v="75.900000000000006"/>
    <x v="74"/>
    <x v="69"/>
    <x v="1"/>
    <x v="1"/>
    <x v="2"/>
    <x v="0"/>
    <x v="21"/>
    <n v="0"/>
    <x v="11"/>
    <x v="1"/>
  </r>
  <r>
    <x v="2037"/>
    <x v="1"/>
    <x v="2"/>
    <n v="42.1"/>
    <n v="126.30000000000001"/>
    <x v="74"/>
    <x v="83"/>
    <x v="1"/>
    <x v="1"/>
    <x v="1"/>
    <x v="0"/>
    <x v="21"/>
    <n v="3"/>
    <x v="11"/>
    <x v="1"/>
  </r>
  <r>
    <x v="2038"/>
    <x v="7"/>
    <x v="2"/>
    <n v="65.3"/>
    <n v="195.89999999999998"/>
    <x v="74"/>
    <x v="79"/>
    <x v="1"/>
    <x v="0"/>
    <x v="0"/>
    <x v="0"/>
    <x v="1"/>
    <n v="7"/>
    <x v="11"/>
    <x v="1"/>
  </r>
  <r>
    <x v="2039"/>
    <x v="15"/>
    <x v="0"/>
    <n v="20.6"/>
    <n v="20.6"/>
    <x v="74"/>
    <x v="83"/>
    <x v="1"/>
    <x v="3"/>
    <x v="0"/>
    <x v="0"/>
    <x v="42"/>
    <n v="3"/>
    <x v="11"/>
    <x v="1"/>
  </r>
  <r>
    <x v="2040"/>
    <x v="8"/>
    <x v="3"/>
    <n v="16.5"/>
    <n v="115.5"/>
    <x v="74"/>
    <x v="76"/>
    <x v="1"/>
    <x v="1"/>
    <x v="1"/>
    <x v="0"/>
    <x v="2"/>
    <n v="1"/>
    <x v="11"/>
    <x v="1"/>
  </r>
  <r>
    <x v="2041"/>
    <x v="16"/>
    <x v="7"/>
    <n v="36.200000000000003"/>
    <n v="362"/>
    <x v="74"/>
    <x v="73"/>
    <x v="1"/>
    <x v="0"/>
    <x v="2"/>
    <x v="0"/>
    <x v="2"/>
    <n v="2"/>
    <x v="11"/>
    <x v="1"/>
  </r>
  <r>
    <x v="2042"/>
    <x v="6"/>
    <x v="0"/>
    <n v="53.2"/>
    <n v="53.2"/>
    <x v="74"/>
    <x v="76"/>
    <x v="2"/>
    <x v="0"/>
    <x v="1"/>
    <x v="0"/>
    <x v="22"/>
    <n v="1"/>
    <x v="11"/>
    <x v="2"/>
  </r>
  <r>
    <x v="2043"/>
    <x v="2"/>
    <x v="21"/>
    <n v="176"/>
    <n v="2464"/>
    <x v="74"/>
    <x v="76"/>
    <x v="2"/>
    <x v="0"/>
    <x v="1"/>
    <x v="0"/>
    <x v="3"/>
    <n v="1"/>
    <x v="11"/>
    <x v="2"/>
  </r>
  <r>
    <x v="2044"/>
    <x v="1"/>
    <x v="0"/>
    <n v="52.4"/>
    <n v="52.4"/>
    <x v="74"/>
    <x v="76"/>
    <x v="1"/>
    <x v="1"/>
    <x v="0"/>
    <x v="0"/>
    <x v="3"/>
    <n v="1"/>
    <x v="11"/>
    <x v="1"/>
  </r>
  <r>
    <x v="2045"/>
    <x v="10"/>
    <x v="2"/>
    <n v="48.2"/>
    <n v="144.60000000000002"/>
    <x v="74"/>
    <x v="76"/>
    <x v="2"/>
    <x v="1"/>
    <x v="2"/>
    <x v="0"/>
    <x v="3"/>
    <n v="1"/>
    <x v="11"/>
    <x v="2"/>
  </r>
  <r>
    <x v="2046"/>
    <x v="15"/>
    <x v="0"/>
    <n v="51.6"/>
    <n v="51.6"/>
    <x v="74"/>
    <x v="78"/>
    <x v="2"/>
    <x v="2"/>
    <x v="1"/>
    <x v="0"/>
    <x v="3"/>
    <n v="4"/>
    <x v="11"/>
    <x v="2"/>
  </r>
  <r>
    <x v="2047"/>
    <x v="0"/>
    <x v="12"/>
    <n v="33.700000000000003"/>
    <n v="134.80000000000001"/>
    <x v="75"/>
    <x v="73"/>
    <x v="1"/>
    <x v="0"/>
    <x v="0"/>
    <x v="0"/>
    <x v="3"/>
    <n v="1"/>
    <x v="11"/>
    <x v="1"/>
  </r>
  <r>
    <x v="2048"/>
    <x v="4"/>
    <x v="7"/>
    <n v="36.299999999999997"/>
    <n v="363"/>
    <x v="75"/>
    <x v="83"/>
    <x v="2"/>
    <x v="4"/>
    <x v="1"/>
    <x v="0"/>
    <x v="3"/>
    <n v="2"/>
    <x v="11"/>
    <x v="2"/>
  </r>
  <r>
    <x v="2049"/>
    <x v="8"/>
    <x v="0"/>
    <n v="23.4"/>
    <n v="23.4"/>
    <x v="75"/>
    <x v="80"/>
    <x v="2"/>
    <x v="1"/>
    <x v="2"/>
    <x v="0"/>
    <x v="3"/>
    <n v="5"/>
    <x v="11"/>
    <x v="2"/>
  </r>
  <r>
    <x v="2050"/>
    <x v="15"/>
    <x v="8"/>
    <n v="56.6"/>
    <n v="452.8"/>
    <x v="75"/>
    <x v="83"/>
    <x v="2"/>
    <x v="1"/>
    <x v="0"/>
    <x v="0"/>
    <x v="3"/>
    <n v="2"/>
    <x v="11"/>
    <x v="2"/>
  </r>
  <r>
    <x v="2051"/>
    <x v="15"/>
    <x v="1"/>
    <n v="26.8"/>
    <n v="53.6"/>
    <x v="75"/>
    <x v="73"/>
    <x v="1"/>
    <x v="0"/>
    <x v="0"/>
    <x v="0"/>
    <x v="4"/>
    <n v="1"/>
    <x v="11"/>
    <x v="1"/>
  </r>
  <r>
    <x v="2052"/>
    <x v="0"/>
    <x v="2"/>
    <n v="11.3"/>
    <n v="33.900000000000006"/>
    <x v="75"/>
    <x v="83"/>
    <x v="1"/>
    <x v="2"/>
    <x v="0"/>
    <x v="0"/>
    <x v="25"/>
    <n v="2"/>
    <x v="11"/>
    <x v="1"/>
  </r>
  <r>
    <x v="2053"/>
    <x v="6"/>
    <x v="2"/>
    <n v="60.1"/>
    <n v="180.3"/>
    <x v="75"/>
    <x v="78"/>
    <x v="2"/>
    <x v="0"/>
    <x v="0"/>
    <x v="0"/>
    <x v="7"/>
    <n v="3"/>
    <x v="11"/>
    <x v="2"/>
  </r>
  <r>
    <x v="2054"/>
    <x v="0"/>
    <x v="5"/>
    <n v="27.7"/>
    <n v="304.7"/>
    <x v="75"/>
    <x v="80"/>
    <x v="2"/>
    <x v="0"/>
    <x v="0"/>
    <x v="0"/>
    <x v="8"/>
    <n v="5"/>
    <x v="11"/>
    <x v="2"/>
  </r>
  <r>
    <x v="2055"/>
    <x v="15"/>
    <x v="0"/>
    <n v="71.400000000000006"/>
    <n v="71.400000000000006"/>
    <x v="75"/>
    <x v="78"/>
    <x v="1"/>
    <x v="0"/>
    <x v="2"/>
    <x v="0"/>
    <x v="8"/>
    <n v="3"/>
    <x v="11"/>
    <x v="1"/>
  </r>
  <r>
    <x v="2056"/>
    <x v="2"/>
    <x v="1"/>
    <n v="66.7"/>
    <n v="133.4"/>
    <x v="75"/>
    <x v="73"/>
    <x v="2"/>
    <x v="0"/>
    <x v="2"/>
    <x v="0"/>
    <x v="8"/>
    <n v="1"/>
    <x v="11"/>
    <x v="2"/>
  </r>
  <r>
    <x v="2057"/>
    <x v="13"/>
    <x v="9"/>
    <n v="39.1"/>
    <n v="195.5"/>
    <x v="75"/>
    <x v="73"/>
    <x v="2"/>
    <x v="0"/>
    <x v="0"/>
    <x v="0"/>
    <x v="8"/>
    <n v="1"/>
    <x v="11"/>
    <x v="2"/>
  </r>
  <r>
    <x v="2058"/>
    <x v="8"/>
    <x v="12"/>
    <n v="24.9"/>
    <n v="99.6"/>
    <x v="75"/>
    <x v="80"/>
    <x v="1"/>
    <x v="1"/>
    <x v="2"/>
    <x v="0"/>
    <x v="8"/>
    <n v="5"/>
    <x v="11"/>
    <x v="1"/>
  </r>
  <r>
    <x v="2059"/>
    <x v="5"/>
    <x v="9"/>
    <n v="29.2"/>
    <n v="146"/>
    <x v="75"/>
    <x v="73"/>
    <x v="1"/>
    <x v="0"/>
    <x v="2"/>
    <x v="0"/>
    <x v="17"/>
    <n v="1"/>
    <x v="11"/>
    <x v="1"/>
  </r>
  <r>
    <x v="2060"/>
    <x v="13"/>
    <x v="21"/>
    <n v="28.3"/>
    <n v="396.2"/>
    <x v="75"/>
    <x v="83"/>
    <x v="2"/>
    <x v="1"/>
    <x v="0"/>
    <x v="0"/>
    <x v="11"/>
    <n v="2"/>
    <x v="11"/>
    <x v="2"/>
  </r>
  <r>
    <x v="2061"/>
    <x v="9"/>
    <x v="2"/>
    <n v="37.799999999999997"/>
    <n v="113.39999999999999"/>
    <x v="75"/>
    <x v="73"/>
    <x v="2"/>
    <x v="0"/>
    <x v="1"/>
    <x v="0"/>
    <x v="11"/>
    <n v="1"/>
    <x v="11"/>
    <x v="2"/>
  </r>
  <r>
    <x v="2062"/>
    <x v="14"/>
    <x v="3"/>
    <n v="28.1"/>
    <n v="196.70000000000002"/>
    <x v="75"/>
    <x v="79"/>
    <x v="2"/>
    <x v="2"/>
    <x v="0"/>
    <x v="0"/>
    <x v="11"/>
    <n v="6"/>
    <x v="11"/>
    <x v="2"/>
  </r>
  <r>
    <x v="2063"/>
    <x v="1"/>
    <x v="2"/>
    <n v="59.7"/>
    <n v="179.10000000000002"/>
    <x v="75"/>
    <x v="83"/>
    <x v="2"/>
    <x v="2"/>
    <x v="0"/>
    <x v="0"/>
    <x v="11"/>
    <n v="2"/>
    <x v="11"/>
    <x v="2"/>
  </r>
  <r>
    <x v="2064"/>
    <x v="16"/>
    <x v="0"/>
    <n v="71.900000000000006"/>
    <n v="71.900000000000006"/>
    <x v="75"/>
    <x v="73"/>
    <x v="1"/>
    <x v="1"/>
    <x v="1"/>
    <x v="0"/>
    <x v="11"/>
    <n v="1"/>
    <x v="11"/>
    <x v="1"/>
  </r>
  <r>
    <x v="2065"/>
    <x v="1"/>
    <x v="1"/>
    <n v="56.9"/>
    <n v="113.8"/>
    <x v="75"/>
    <x v="73"/>
    <x v="1"/>
    <x v="2"/>
    <x v="0"/>
    <x v="0"/>
    <x v="13"/>
    <n v="1"/>
    <x v="11"/>
    <x v="1"/>
  </r>
  <r>
    <x v="2066"/>
    <x v="8"/>
    <x v="1"/>
    <n v="15.8"/>
    <n v="31.6"/>
    <x v="75"/>
    <x v="78"/>
    <x v="2"/>
    <x v="2"/>
    <x v="1"/>
    <x v="0"/>
    <x v="1"/>
    <n v="3"/>
    <x v="11"/>
    <x v="2"/>
  </r>
  <r>
    <x v="2067"/>
    <x v="11"/>
    <x v="12"/>
    <n v="61.7"/>
    <n v="246.8"/>
    <x v="75"/>
    <x v="83"/>
    <x v="2"/>
    <x v="2"/>
    <x v="0"/>
    <x v="0"/>
    <x v="22"/>
    <n v="2"/>
    <x v="11"/>
    <x v="2"/>
  </r>
  <r>
    <x v="2068"/>
    <x v="2"/>
    <x v="7"/>
    <n v="105.2"/>
    <n v="1052"/>
    <x v="75"/>
    <x v="83"/>
    <x v="1"/>
    <x v="1"/>
    <x v="4"/>
    <x v="0"/>
    <x v="3"/>
    <n v="2"/>
    <x v="11"/>
    <x v="1"/>
  </r>
  <r>
    <x v="2069"/>
    <x v="0"/>
    <x v="1"/>
    <n v="17"/>
    <n v="34"/>
    <x v="75"/>
    <x v="83"/>
    <x v="2"/>
    <x v="2"/>
    <x v="0"/>
    <x v="0"/>
    <x v="3"/>
    <n v="2"/>
    <x v="11"/>
    <x v="2"/>
  </r>
  <r>
    <x v="2070"/>
    <x v="6"/>
    <x v="2"/>
    <n v="84.1"/>
    <n v="252.29999999999998"/>
    <x v="75"/>
    <x v="73"/>
    <x v="1"/>
    <x v="2"/>
    <x v="0"/>
    <x v="0"/>
    <x v="3"/>
    <n v="1"/>
    <x v="11"/>
    <x v="1"/>
  </r>
  <r>
    <x v="2071"/>
    <x v="3"/>
    <x v="12"/>
    <n v="59.5"/>
    <n v="238"/>
    <x v="75"/>
    <x v="80"/>
    <x v="1"/>
    <x v="0"/>
    <x v="2"/>
    <x v="0"/>
    <x v="3"/>
    <n v="5"/>
    <x v="11"/>
    <x v="1"/>
  </r>
  <r>
    <x v="2072"/>
    <x v="8"/>
    <x v="1"/>
    <n v="57.5"/>
    <n v="115"/>
    <x v="75"/>
    <x v="83"/>
    <x v="1"/>
    <x v="1"/>
    <x v="2"/>
    <x v="0"/>
    <x v="3"/>
    <n v="2"/>
    <x v="11"/>
    <x v="1"/>
  </r>
  <r>
    <x v="2073"/>
    <x v="8"/>
    <x v="0"/>
    <n v="34.299999999999997"/>
    <n v="34.299999999999997"/>
    <x v="75"/>
    <x v="73"/>
    <x v="2"/>
    <x v="4"/>
    <x v="2"/>
    <x v="0"/>
    <x v="3"/>
    <n v="1"/>
    <x v="11"/>
    <x v="2"/>
  </r>
  <r>
    <x v="2074"/>
    <x v="5"/>
    <x v="1"/>
    <n v="27.8"/>
    <n v="55.6"/>
    <x v="76"/>
    <x v="78"/>
    <x v="2"/>
    <x v="0"/>
    <x v="0"/>
    <x v="0"/>
    <x v="3"/>
    <n v="2"/>
    <x v="11"/>
    <x v="2"/>
  </r>
  <r>
    <x v="2075"/>
    <x v="12"/>
    <x v="1"/>
    <n v="85"/>
    <n v="170"/>
    <x v="76"/>
    <x v="73"/>
    <x v="1"/>
    <x v="2"/>
    <x v="2"/>
    <x v="0"/>
    <x v="3"/>
    <n v="0"/>
    <x v="11"/>
    <x v="1"/>
  </r>
  <r>
    <x v="2076"/>
    <x v="6"/>
    <x v="1"/>
    <n v="95"/>
    <n v="190"/>
    <x v="76"/>
    <x v="78"/>
    <x v="2"/>
    <x v="0"/>
    <x v="0"/>
    <x v="0"/>
    <x v="3"/>
    <n v="2"/>
    <x v="11"/>
    <x v="2"/>
  </r>
  <r>
    <x v="2077"/>
    <x v="16"/>
    <x v="1"/>
    <n v="32"/>
    <n v="64"/>
    <x v="76"/>
    <x v="78"/>
    <x v="1"/>
    <x v="0"/>
    <x v="1"/>
    <x v="0"/>
    <x v="3"/>
    <n v="2"/>
    <x v="11"/>
    <x v="1"/>
  </r>
  <r>
    <x v="2078"/>
    <x v="2"/>
    <x v="1"/>
    <n v="65.2"/>
    <n v="130.4"/>
    <x v="76"/>
    <x v="83"/>
    <x v="2"/>
    <x v="1"/>
    <x v="0"/>
    <x v="0"/>
    <x v="3"/>
    <n v="1"/>
    <x v="11"/>
    <x v="2"/>
  </r>
  <r>
    <x v="2079"/>
    <x v="17"/>
    <x v="12"/>
    <n v="22"/>
    <n v="88"/>
    <x v="76"/>
    <x v="83"/>
    <x v="1"/>
    <x v="1"/>
    <x v="2"/>
    <x v="0"/>
    <x v="3"/>
    <n v="1"/>
    <x v="11"/>
    <x v="1"/>
  </r>
  <r>
    <x v="2080"/>
    <x v="15"/>
    <x v="2"/>
    <n v="69.400000000000006"/>
    <n v="208.20000000000002"/>
    <x v="76"/>
    <x v="75"/>
    <x v="1"/>
    <x v="1"/>
    <x v="2"/>
    <x v="0"/>
    <x v="3"/>
    <n v="3"/>
    <x v="11"/>
    <x v="1"/>
  </r>
  <r>
    <x v="2081"/>
    <x v="10"/>
    <x v="13"/>
    <n v="31.5"/>
    <n v="189"/>
    <x v="76"/>
    <x v="78"/>
    <x v="2"/>
    <x v="0"/>
    <x v="2"/>
    <x v="0"/>
    <x v="3"/>
    <n v="2"/>
    <x v="11"/>
    <x v="2"/>
  </r>
  <r>
    <x v="2082"/>
    <x v="6"/>
    <x v="0"/>
    <n v="45.8"/>
    <n v="45.8"/>
    <x v="76"/>
    <x v="80"/>
    <x v="3"/>
    <x v="0"/>
    <x v="0"/>
    <x v="0"/>
    <x v="3"/>
    <n v="4"/>
    <x v="11"/>
    <x v="3"/>
  </r>
  <r>
    <x v="2083"/>
    <x v="19"/>
    <x v="12"/>
    <n v="12.8"/>
    <n v="51.2"/>
    <x v="76"/>
    <x v="82"/>
    <x v="2"/>
    <x v="1"/>
    <x v="1"/>
    <x v="0"/>
    <x v="5"/>
    <n v="7"/>
    <x v="11"/>
    <x v="2"/>
  </r>
  <r>
    <x v="2084"/>
    <x v="5"/>
    <x v="2"/>
    <n v="115.3"/>
    <n v="345.9"/>
    <x v="76"/>
    <x v="83"/>
    <x v="2"/>
    <x v="2"/>
    <x v="2"/>
    <x v="0"/>
    <x v="6"/>
    <n v="1"/>
    <x v="11"/>
    <x v="2"/>
  </r>
  <r>
    <x v="2085"/>
    <x v="5"/>
    <x v="1"/>
    <n v="85"/>
    <n v="170"/>
    <x v="76"/>
    <x v="78"/>
    <x v="2"/>
    <x v="1"/>
    <x v="0"/>
    <x v="0"/>
    <x v="7"/>
    <n v="2"/>
    <x v="11"/>
    <x v="2"/>
  </r>
  <r>
    <x v="2086"/>
    <x v="8"/>
    <x v="2"/>
    <n v="56.6"/>
    <n v="169.8"/>
    <x v="76"/>
    <x v="83"/>
    <x v="2"/>
    <x v="1"/>
    <x v="2"/>
    <x v="0"/>
    <x v="7"/>
    <n v="1"/>
    <x v="11"/>
    <x v="2"/>
  </r>
  <r>
    <x v="2087"/>
    <x v="15"/>
    <x v="6"/>
    <n v="46.3"/>
    <n v="1250.0999999999999"/>
    <x v="76"/>
    <x v="75"/>
    <x v="1"/>
    <x v="0"/>
    <x v="0"/>
    <x v="0"/>
    <x v="7"/>
    <n v="3"/>
    <x v="11"/>
    <x v="1"/>
  </r>
  <r>
    <x v="2088"/>
    <x v="14"/>
    <x v="12"/>
    <n v="23"/>
    <n v="92"/>
    <x v="76"/>
    <x v="80"/>
    <x v="1"/>
    <x v="3"/>
    <x v="2"/>
    <x v="0"/>
    <x v="7"/>
    <n v="4"/>
    <x v="11"/>
    <x v="1"/>
  </r>
  <r>
    <x v="2089"/>
    <x v="8"/>
    <x v="13"/>
    <n v="42.1"/>
    <n v="252.60000000000002"/>
    <x v="76"/>
    <x v="78"/>
    <x v="1"/>
    <x v="4"/>
    <x v="0"/>
    <x v="0"/>
    <x v="8"/>
    <n v="2"/>
    <x v="11"/>
    <x v="1"/>
  </r>
  <r>
    <x v="2090"/>
    <x v="5"/>
    <x v="3"/>
    <n v="57.4"/>
    <n v="401.8"/>
    <x v="76"/>
    <x v="80"/>
    <x v="2"/>
    <x v="1"/>
    <x v="4"/>
    <x v="0"/>
    <x v="8"/>
    <n v="4"/>
    <x v="11"/>
    <x v="2"/>
  </r>
  <r>
    <x v="2091"/>
    <x v="0"/>
    <x v="13"/>
    <n v="13.2"/>
    <n v="79.199999999999989"/>
    <x v="76"/>
    <x v="80"/>
    <x v="1"/>
    <x v="2"/>
    <x v="0"/>
    <x v="0"/>
    <x v="8"/>
    <n v="4"/>
    <x v="11"/>
    <x v="1"/>
  </r>
  <r>
    <x v="2092"/>
    <x v="6"/>
    <x v="2"/>
    <n v="52.3"/>
    <n v="156.89999999999998"/>
    <x v="76"/>
    <x v="83"/>
    <x v="1"/>
    <x v="1"/>
    <x v="0"/>
    <x v="0"/>
    <x v="8"/>
    <n v="1"/>
    <x v="11"/>
    <x v="1"/>
  </r>
  <r>
    <x v="2093"/>
    <x v="8"/>
    <x v="1"/>
    <n v="15.7"/>
    <n v="31.4"/>
    <x v="76"/>
    <x v="75"/>
    <x v="1"/>
    <x v="1"/>
    <x v="2"/>
    <x v="0"/>
    <x v="8"/>
    <n v="3"/>
    <x v="11"/>
    <x v="1"/>
  </r>
  <r>
    <x v="2094"/>
    <x v="7"/>
    <x v="2"/>
    <n v="35"/>
    <n v="105"/>
    <x v="76"/>
    <x v="75"/>
    <x v="2"/>
    <x v="1"/>
    <x v="2"/>
    <x v="0"/>
    <x v="9"/>
    <n v="3"/>
    <x v="11"/>
    <x v="2"/>
  </r>
  <r>
    <x v="2095"/>
    <x v="4"/>
    <x v="2"/>
    <n v="26.6"/>
    <n v="79.800000000000011"/>
    <x v="76"/>
    <x v="73"/>
    <x v="1"/>
    <x v="1"/>
    <x v="2"/>
    <x v="0"/>
    <x v="11"/>
    <n v="0"/>
    <x v="11"/>
    <x v="1"/>
  </r>
  <r>
    <x v="2096"/>
    <x v="4"/>
    <x v="8"/>
    <n v="47.9"/>
    <n v="383.2"/>
    <x v="77"/>
    <x v="78"/>
    <x v="2"/>
    <x v="3"/>
    <x v="2"/>
    <x v="0"/>
    <x v="20"/>
    <n v="1"/>
    <x v="11"/>
    <x v="2"/>
  </r>
  <r>
    <x v="2097"/>
    <x v="5"/>
    <x v="0"/>
    <n v="80.099999999999994"/>
    <n v="80.099999999999994"/>
    <x v="77"/>
    <x v="78"/>
    <x v="1"/>
    <x v="2"/>
    <x v="0"/>
    <x v="0"/>
    <x v="21"/>
    <n v="1"/>
    <x v="11"/>
    <x v="1"/>
  </r>
  <r>
    <x v="2098"/>
    <x v="6"/>
    <x v="9"/>
    <n v="50.4"/>
    <n v="252"/>
    <x v="77"/>
    <x v="78"/>
    <x v="1"/>
    <x v="1"/>
    <x v="2"/>
    <x v="0"/>
    <x v="21"/>
    <n v="1"/>
    <x v="11"/>
    <x v="1"/>
  </r>
  <r>
    <x v="2099"/>
    <x v="10"/>
    <x v="3"/>
    <n v="43.3"/>
    <n v="303.09999999999997"/>
    <x v="77"/>
    <x v="78"/>
    <x v="1"/>
    <x v="2"/>
    <x v="0"/>
    <x v="0"/>
    <x v="21"/>
    <n v="1"/>
    <x v="11"/>
    <x v="1"/>
  </r>
  <r>
    <x v="2100"/>
    <x v="10"/>
    <x v="12"/>
    <n v="57.5"/>
    <n v="230"/>
    <x v="77"/>
    <x v="78"/>
    <x v="2"/>
    <x v="1"/>
    <x v="2"/>
    <x v="0"/>
    <x v="1"/>
    <n v="1"/>
    <x v="11"/>
    <x v="2"/>
  </r>
  <r>
    <x v="2101"/>
    <x v="9"/>
    <x v="15"/>
    <n v="24.8"/>
    <n v="322.40000000000003"/>
    <x v="77"/>
    <x v="78"/>
    <x v="1"/>
    <x v="0"/>
    <x v="0"/>
    <x v="0"/>
    <x v="57"/>
    <n v="1"/>
    <x v="11"/>
    <x v="1"/>
  </r>
  <r>
    <x v="2102"/>
    <x v="2"/>
    <x v="11"/>
    <n v="85.7"/>
    <n v="771.30000000000007"/>
    <x v="77"/>
    <x v="78"/>
    <x v="2"/>
    <x v="0"/>
    <x v="0"/>
    <x v="0"/>
    <x v="42"/>
    <n v="1"/>
    <x v="11"/>
    <x v="2"/>
  </r>
  <r>
    <x v="2103"/>
    <x v="7"/>
    <x v="0"/>
    <n v="47.1"/>
    <n v="47.1"/>
    <x v="77"/>
    <x v="75"/>
    <x v="2"/>
    <x v="0"/>
    <x v="0"/>
    <x v="0"/>
    <x v="2"/>
    <n v="2"/>
    <x v="11"/>
    <x v="2"/>
  </r>
  <r>
    <x v="2104"/>
    <x v="5"/>
    <x v="7"/>
    <n v="83.2"/>
    <n v="832"/>
    <x v="77"/>
    <x v="79"/>
    <x v="2"/>
    <x v="0"/>
    <x v="0"/>
    <x v="0"/>
    <x v="33"/>
    <n v="4"/>
    <x v="11"/>
    <x v="2"/>
  </r>
  <r>
    <x v="2105"/>
    <x v="2"/>
    <x v="2"/>
    <n v="157"/>
    <n v="471"/>
    <x v="77"/>
    <x v="75"/>
    <x v="2"/>
    <x v="0"/>
    <x v="2"/>
    <x v="0"/>
    <x v="22"/>
    <n v="2"/>
    <x v="11"/>
    <x v="2"/>
  </r>
  <r>
    <x v="2106"/>
    <x v="16"/>
    <x v="12"/>
    <n v="33.700000000000003"/>
    <n v="134.80000000000001"/>
    <x v="77"/>
    <x v="78"/>
    <x v="1"/>
    <x v="2"/>
    <x v="2"/>
    <x v="0"/>
    <x v="22"/>
    <n v="1"/>
    <x v="11"/>
    <x v="1"/>
  </r>
  <r>
    <x v="2107"/>
    <x v="2"/>
    <x v="2"/>
    <n v="60.8"/>
    <n v="182.39999999999998"/>
    <x v="77"/>
    <x v="79"/>
    <x v="2"/>
    <x v="1"/>
    <x v="1"/>
    <x v="0"/>
    <x v="3"/>
    <n v="4"/>
    <x v="11"/>
    <x v="2"/>
  </r>
  <r>
    <x v="2108"/>
    <x v="7"/>
    <x v="0"/>
    <n v="57.6"/>
    <n v="57.6"/>
    <x v="77"/>
    <x v="78"/>
    <x v="1"/>
    <x v="1"/>
    <x v="4"/>
    <x v="0"/>
    <x v="3"/>
    <n v="1"/>
    <x v="11"/>
    <x v="1"/>
  </r>
  <r>
    <x v="2109"/>
    <x v="10"/>
    <x v="0"/>
    <n v="32"/>
    <n v="32"/>
    <x v="77"/>
    <x v="75"/>
    <x v="1"/>
    <x v="0"/>
    <x v="0"/>
    <x v="0"/>
    <x v="3"/>
    <n v="2"/>
    <x v="11"/>
    <x v="1"/>
  </r>
  <r>
    <x v="2110"/>
    <x v="10"/>
    <x v="12"/>
    <n v="23.5"/>
    <n v="94"/>
    <x v="77"/>
    <x v="78"/>
    <x v="2"/>
    <x v="0"/>
    <x v="2"/>
    <x v="0"/>
    <x v="3"/>
    <n v="1"/>
    <x v="11"/>
    <x v="2"/>
  </r>
  <r>
    <x v="2111"/>
    <x v="12"/>
    <x v="2"/>
    <n v="44.8"/>
    <n v="134.39999999999998"/>
    <x v="77"/>
    <x v="78"/>
    <x v="3"/>
    <x v="4"/>
    <x v="0"/>
    <x v="0"/>
    <x v="3"/>
    <n v="1"/>
    <x v="11"/>
    <x v="3"/>
  </r>
  <r>
    <x v="2112"/>
    <x v="0"/>
    <x v="8"/>
    <n v="11.7"/>
    <n v="93.6"/>
    <x v="77"/>
    <x v="78"/>
    <x v="1"/>
    <x v="2"/>
    <x v="2"/>
    <x v="0"/>
    <x v="3"/>
    <n v="1"/>
    <x v="11"/>
    <x v="1"/>
  </r>
  <r>
    <x v="2113"/>
    <x v="7"/>
    <x v="1"/>
    <n v="38.799999999999997"/>
    <n v="77.599999999999994"/>
    <x v="77"/>
    <x v="80"/>
    <x v="2"/>
    <x v="2"/>
    <x v="0"/>
    <x v="0"/>
    <x v="3"/>
    <n v="3"/>
    <x v="11"/>
    <x v="2"/>
  </r>
  <r>
    <x v="2114"/>
    <x v="5"/>
    <x v="21"/>
    <n v="86.9"/>
    <n v="1216.6000000000001"/>
    <x v="77"/>
    <x v="77"/>
    <x v="2"/>
    <x v="1"/>
    <x v="0"/>
    <x v="0"/>
    <x v="3"/>
    <n v="5"/>
    <x v="11"/>
    <x v="2"/>
  </r>
  <r>
    <x v="2115"/>
    <x v="8"/>
    <x v="0"/>
    <n v="18.3"/>
    <n v="18.3"/>
    <x v="77"/>
    <x v="78"/>
    <x v="2"/>
    <x v="0"/>
    <x v="0"/>
    <x v="0"/>
    <x v="3"/>
    <n v="1"/>
    <x v="11"/>
    <x v="2"/>
  </r>
  <r>
    <x v="2116"/>
    <x v="5"/>
    <x v="0"/>
    <n v="47.5"/>
    <n v="47.5"/>
    <x v="77"/>
    <x v="79"/>
    <x v="1"/>
    <x v="4"/>
    <x v="2"/>
    <x v="0"/>
    <x v="3"/>
    <n v="4"/>
    <x v="11"/>
    <x v="1"/>
  </r>
  <r>
    <x v="2117"/>
    <x v="1"/>
    <x v="1"/>
    <n v="78.599999999999994"/>
    <n v="157.19999999999999"/>
    <x v="77"/>
    <x v="78"/>
    <x v="1"/>
    <x v="2"/>
    <x v="2"/>
    <x v="0"/>
    <x v="3"/>
    <n v="1"/>
    <x v="11"/>
    <x v="1"/>
  </r>
  <r>
    <x v="2118"/>
    <x v="6"/>
    <x v="12"/>
    <n v="87.3"/>
    <n v="349.2"/>
    <x v="77"/>
    <x v="78"/>
    <x v="1"/>
    <x v="0"/>
    <x v="0"/>
    <x v="0"/>
    <x v="3"/>
    <n v="1"/>
    <x v="11"/>
    <x v="1"/>
  </r>
  <r>
    <x v="2119"/>
    <x v="9"/>
    <x v="1"/>
    <n v="63.2"/>
    <n v="126.4"/>
    <x v="77"/>
    <x v="83"/>
    <x v="1"/>
    <x v="4"/>
    <x v="1"/>
    <x v="0"/>
    <x v="3"/>
    <n v="0"/>
    <x v="11"/>
    <x v="1"/>
  </r>
  <r>
    <x v="2120"/>
    <x v="5"/>
    <x v="9"/>
    <n v="33.700000000000003"/>
    <n v="168.5"/>
    <x v="77"/>
    <x v="78"/>
    <x v="2"/>
    <x v="0"/>
    <x v="0"/>
    <x v="0"/>
    <x v="3"/>
    <n v="1"/>
    <x v="11"/>
    <x v="2"/>
  </r>
  <r>
    <x v="2121"/>
    <x v="2"/>
    <x v="2"/>
    <n v="107.4"/>
    <n v="322.20000000000005"/>
    <x v="77"/>
    <x v="84"/>
    <x v="2"/>
    <x v="1"/>
    <x v="2"/>
    <x v="0"/>
    <x v="3"/>
    <n v="13"/>
    <x v="11"/>
    <x v="2"/>
  </r>
  <r>
    <x v="2122"/>
    <x v="4"/>
    <x v="12"/>
    <n v="22.2"/>
    <n v="88.8"/>
    <x v="77"/>
    <x v="78"/>
    <x v="0"/>
    <x v="1"/>
    <x v="2"/>
    <x v="0"/>
    <x v="24"/>
    <n v="1"/>
    <x v="11"/>
    <x v="0"/>
  </r>
  <r>
    <x v="2123"/>
    <x v="18"/>
    <x v="2"/>
    <n v="52.8"/>
    <n v="158.39999999999998"/>
    <x v="77"/>
    <x v="78"/>
    <x v="1"/>
    <x v="3"/>
    <x v="2"/>
    <x v="0"/>
    <x v="24"/>
    <n v="1"/>
    <x v="11"/>
    <x v="1"/>
  </r>
  <r>
    <x v="2124"/>
    <x v="8"/>
    <x v="2"/>
    <n v="41.5"/>
    <n v="124.5"/>
    <x v="77"/>
    <x v="80"/>
    <x v="2"/>
    <x v="0"/>
    <x v="0"/>
    <x v="0"/>
    <x v="25"/>
    <n v="3"/>
    <x v="11"/>
    <x v="2"/>
  </r>
  <r>
    <x v="2125"/>
    <x v="12"/>
    <x v="8"/>
    <n v="103.5"/>
    <n v="828"/>
    <x v="77"/>
    <x v="80"/>
    <x v="2"/>
    <x v="0"/>
    <x v="2"/>
    <x v="0"/>
    <x v="23"/>
    <n v="3"/>
    <x v="11"/>
    <x v="2"/>
  </r>
  <r>
    <x v="2126"/>
    <x v="4"/>
    <x v="21"/>
    <n v="37.5"/>
    <n v="525"/>
    <x v="77"/>
    <x v="83"/>
    <x v="2"/>
    <x v="1"/>
    <x v="2"/>
    <x v="0"/>
    <x v="6"/>
    <n v="0"/>
    <x v="11"/>
    <x v="2"/>
  </r>
  <r>
    <x v="2127"/>
    <x v="15"/>
    <x v="8"/>
    <n v="44.4"/>
    <n v="355.2"/>
    <x v="77"/>
    <x v="82"/>
    <x v="2"/>
    <x v="3"/>
    <x v="2"/>
    <x v="0"/>
    <x v="7"/>
    <n v="6"/>
    <x v="11"/>
    <x v="2"/>
  </r>
  <r>
    <x v="2128"/>
    <x v="8"/>
    <x v="2"/>
    <n v="26.2"/>
    <n v="78.599999999999994"/>
    <x v="77"/>
    <x v="78"/>
    <x v="1"/>
    <x v="0"/>
    <x v="0"/>
    <x v="0"/>
    <x v="8"/>
    <n v="1"/>
    <x v="11"/>
    <x v="1"/>
  </r>
  <r>
    <x v="2129"/>
    <x v="1"/>
    <x v="3"/>
    <n v="32.200000000000003"/>
    <n v="225.40000000000003"/>
    <x v="77"/>
    <x v="78"/>
    <x v="2"/>
    <x v="1"/>
    <x v="2"/>
    <x v="0"/>
    <x v="8"/>
    <n v="1"/>
    <x v="11"/>
    <x v="2"/>
  </r>
  <r>
    <x v="2130"/>
    <x v="8"/>
    <x v="0"/>
    <n v="17.399999999999999"/>
    <n v="17.399999999999999"/>
    <x v="77"/>
    <x v="79"/>
    <x v="0"/>
    <x v="2"/>
    <x v="1"/>
    <x v="0"/>
    <x v="8"/>
    <n v="4"/>
    <x v="11"/>
    <x v="0"/>
  </r>
  <r>
    <x v="2131"/>
    <x v="8"/>
    <x v="13"/>
    <n v="72.3"/>
    <n v="433.79999999999995"/>
    <x v="77"/>
    <x v="80"/>
    <x v="2"/>
    <x v="0"/>
    <x v="0"/>
    <x v="0"/>
    <x v="8"/>
    <n v="3"/>
    <x v="11"/>
    <x v="2"/>
  </r>
  <r>
    <x v="2132"/>
    <x v="8"/>
    <x v="5"/>
    <n v="24.3"/>
    <n v="267.3"/>
    <x v="77"/>
    <x v="78"/>
    <x v="1"/>
    <x v="0"/>
    <x v="0"/>
    <x v="0"/>
    <x v="8"/>
    <n v="1"/>
    <x v="11"/>
    <x v="1"/>
  </r>
  <r>
    <x v="2133"/>
    <x v="13"/>
    <x v="2"/>
    <n v="49.1"/>
    <n v="147.30000000000001"/>
    <x v="77"/>
    <x v="82"/>
    <x v="1"/>
    <x v="2"/>
    <x v="4"/>
    <x v="0"/>
    <x v="8"/>
    <n v="6"/>
    <x v="11"/>
    <x v="1"/>
  </r>
  <r>
    <x v="2134"/>
    <x v="2"/>
    <x v="7"/>
    <n v="234.7"/>
    <n v="2347"/>
    <x v="77"/>
    <x v="78"/>
    <x v="1"/>
    <x v="3"/>
    <x v="1"/>
    <x v="0"/>
    <x v="8"/>
    <n v="1"/>
    <x v="11"/>
    <x v="1"/>
  </r>
  <r>
    <x v="2135"/>
    <x v="3"/>
    <x v="9"/>
    <n v="76.099999999999994"/>
    <n v="380.5"/>
    <x v="77"/>
    <x v="75"/>
    <x v="1"/>
    <x v="1"/>
    <x v="1"/>
    <x v="0"/>
    <x v="17"/>
    <n v="2"/>
    <x v="11"/>
    <x v="1"/>
  </r>
  <r>
    <x v="2136"/>
    <x v="1"/>
    <x v="2"/>
    <n v="93.9"/>
    <n v="281.70000000000005"/>
    <x v="77"/>
    <x v="78"/>
    <x v="1"/>
    <x v="1"/>
    <x v="4"/>
    <x v="0"/>
    <x v="11"/>
    <n v="1"/>
    <x v="11"/>
    <x v="1"/>
  </r>
  <r>
    <x v="2137"/>
    <x v="2"/>
    <x v="12"/>
    <n v="187"/>
    <n v="748"/>
    <x v="78"/>
    <x v="79"/>
    <x v="1"/>
    <x v="0"/>
    <x v="0"/>
    <x v="0"/>
    <x v="11"/>
    <n v="3"/>
    <x v="11"/>
    <x v="1"/>
  </r>
  <r>
    <x v="2138"/>
    <x v="8"/>
    <x v="1"/>
    <n v="18"/>
    <n v="36"/>
    <x v="78"/>
    <x v="75"/>
    <x v="2"/>
    <x v="1"/>
    <x v="2"/>
    <x v="0"/>
    <x v="53"/>
    <n v="1"/>
    <x v="11"/>
    <x v="2"/>
  </r>
  <r>
    <x v="2139"/>
    <x v="4"/>
    <x v="0"/>
    <n v="24.4"/>
    <n v="24.4"/>
    <x v="78"/>
    <x v="75"/>
    <x v="2"/>
    <x v="4"/>
    <x v="2"/>
    <x v="0"/>
    <x v="21"/>
    <n v="1"/>
    <x v="11"/>
    <x v="2"/>
  </r>
  <r>
    <x v="2140"/>
    <x v="10"/>
    <x v="1"/>
    <n v="38.799999999999997"/>
    <n v="77.599999999999994"/>
    <x v="78"/>
    <x v="75"/>
    <x v="1"/>
    <x v="4"/>
    <x v="1"/>
    <x v="0"/>
    <x v="3"/>
    <n v="1"/>
    <x v="11"/>
    <x v="1"/>
  </r>
  <r>
    <x v="2141"/>
    <x v="3"/>
    <x v="0"/>
    <n v="59.7"/>
    <n v="59.7"/>
    <x v="78"/>
    <x v="79"/>
    <x v="1"/>
    <x v="3"/>
    <x v="0"/>
    <x v="0"/>
    <x v="3"/>
    <n v="3"/>
    <x v="11"/>
    <x v="1"/>
  </r>
  <r>
    <x v="2142"/>
    <x v="7"/>
    <x v="0"/>
    <n v="31.2"/>
    <n v="31.2"/>
    <x v="78"/>
    <x v="75"/>
    <x v="1"/>
    <x v="1"/>
    <x v="2"/>
    <x v="0"/>
    <x v="3"/>
    <n v="1"/>
    <x v="11"/>
    <x v="1"/>
  </r>
  <r>
    <x v="2143"/>
    <x v="0"/>
    <x v="0"/>
    <n v="16.8"/>
    <n v="16.8"/>
    <x v="78"/>
    <x v="75"/>
    <x v="2"/>
    <x v="2"/>
    <x v="1"/>
    <x v="0"/>
    <x v="3"/>
    <n v="1"/>
    <x v="11"/>
    <x v="2"/>
  </r>
  <r>
    <x v="2144"/>
    <x v="8"/>
    <x v="0"/>
    <n v="46"/>
    <n v="46"/>
    <x v="78"/>
    <x v="75"/>
    <x v="1"/>
    <x v="0"/>
    <x v="0"/>
    <x v="0"/>
    <x v="3"/>
    <n v="1"/>
    <x v="11"/>
    <x v="1"/>
  </r>
  <r>
    <x v="2145"/>
    <x v="9"/>
    <x v="8"/>
    <n v="42.2"/>
    <n v="337.6"/>
    <x v="78"/>
    <x v="79"/>
    <x v="2"/>
    <x v="3"/>
    <x v="2"/>
    <x v="0"/>
    <x v="3"/>
    <n v="3"/>
    <x v="11"/>
    <x v="2"/>
  </r>
  <r>
    <x v="2146"/>
    <x v="1"/>
    <x v="2"/>
    <n v="71.5"/>
    <n v="214.5"/>
    <x v="78"/>
    <x v="85"/>
    <x v="2"/>
    <x v="0"/>
    <x v="0"/>
    <x v="0"/>
    <x v="3"/>
    <n v="14"/>
    <x v="11"/>
    <x v="2"/>
  </r>
  <r>
    <x v="2147"/>
    <x v="1"/>
    <x v="1"/>
    <n v="76.599999999999994"/>
    <n v="153.19999999999999"/>
    <x v="78"/>
    <x v="78"/>
    <x v="1"/>
    <x v="0"/>
    <x v="2"/>
    <x v="0"/>
    <x v="3"/>
    <n v="0"/>
    <x v="11"/>
    <x v="1"/>
  </r>
  <r>
    <x v="2148"/>
    <x v="12"/>
    <x v="1"/>
    <n v="87.3"/>
    <n v="174.6"/>
    <x v="78"/>
    <x v="86"/>
    <x v="2"/>
    <x v="3"/>
    <x v="2"/>
    <x v="0"/>
    <x v="3"/>
    <n v="8"/>
    <x v="11"/>
    <x v="2"/>
  </r>
  <r>
    <x v="2149"/>
    <x v="1"/>
    <x v="0"/>
    <n v="63"/>
    <n v="63"/>
    <x v="78"/>
    <x v="79"/>
    <x v="1"/>
    <x v="3"/>
    <x v="0"/>
    <x v="0"/>
    <x v="3"/>
    <n v="3"/>
    <x v="11"/>
    <x v="1"/>
  </r>
  <r>
    <x v="2150"/>
    <x v="8"/>
    <x v="1"/>
    <n v="41.7"/>
    <n v="83.4"/>
    <x v="78"/>
    <x v="75"/>
    <x v="2"/>
    <x v="4"/>
    <x v="1"/>
    <x v="0"/>
    <x v="43"/>
    <n v="1"/>
    <x v="11"/>
    <x v="2"/>
  </r>
  <r>
    <x v="2151"/>
    <x v="6"/>
    <x v="1"/>
    <n v="76.099999999999994"/>
    <n v="152.19999999999999"/>
    <x v="78"/>
    <x v="78"/>
    <x v="2"/>
    <x v="4"/>
    <x v="2"/>
    <x v="0"/>
    <x v="16"/>
    <n v="0"/>
    <x v="11"/>
    <x v="2"/>
  </r>
  <r>
    <x v="2152"/>
    <x v="13"/>
    <x v="1"/>
    <n v="28.5"/>
    <n v="57"/>
    <x v="78"/>
    <x v="75"/>
    <x v="2"/>
    <x v="0"/>
    <x v="2"/>
    <x v="0"/>
    <x v="4"/>
    <n v="1"/>
    <x v="11"/>
    <x v="2"/>
  </r>
  <r>
    <x v="2153"/>
    <x v="0"/>
    <x v="12"/>
    <n v="32.1"/>
    <n v="128.4"/>
    <x v="78"/>
    <x v="75"/>
    <x v="2"/>
    <x v="1"/>
    <x v="2"/>
    <x v="0"/>
    <x v="25"/>
    <n v="1"/>
    <x v="11"/>
    <x v="2"/>
  </r>
  <r>
    <x v="2154"/>
    <x v="4"/>
    <x v="2"/>
    <n v="39"/>
    <n v="117"/>
    <x v="78"/>
    <x v="79"/>
    <x v="1"/>
    <x v="1"/>
    <x v="2"/>
    <x v="0"/>
    <x v="25"/>
    <n v="3"/>
    <x v="11"/>
    <x v="1"/>
  </r>
  <r>
    <x v="2155"/>
    <x v="6"/>
    <x v="0"/>
    <n v="78.5"/>
    <n v="78.5"/>
    <x v="78"/>
    <x v="75"/>
    <x v="1"/>
    <x v="1"/>
    <x v="0"/>
    <x v="0"/>
    <x v="6"/>
    <n v="1"/>
    <x v="11"/>
    <x v="1"/>
  </r>
  <r>
    <x v="2156"/>
    <x v="4"/>
    <x v="9"/>
    <n v="49.7"/>
    <n v="248.5"/>
    <x v="78"/>
    <x v="80"/>
    <x v="2"/>
    <x v="0"/>
    <x v="0"/>
    <x v="0"/>
    <x v="6"/>
    <n v="2"/>
    <x v="11"/>
    <x v="2"/>
  </r>
  <r>
    <x v="2157"/>
    <x v="1"/>
    <x v="12"/>
    <n v="68.400000000000006"/>
    <n v="273.60000000000002"/>
    <x v="78"/>
    <x v="75"/>
    <x v="2"/>
    <x v="2"/>
    <x v="2"/>
    <x v="0"/>
    <x v="7"/>
    <n v="1"/>
    <x v="11"/>
    <x v="2"/>
  </r>
  <r>
    <x v="2158"/>
    <x v="3"/>
    <x v="1"/>
    <n v="72.900000000000006"/>
    <n v="145.80000000000001"/>
    <x v="78"/>
    <x v="79"/>
    <x v="0"/>
    <x v="0"/>
    <x v="2"/>
    <x v="0"/>
    <x v="7"/>
    <n v="3"/>
    <x v="11"/>
    <x v="0"/>
  </r>
  <r>
    <x v="2159"/>
    <x v="5"/>
    <x v="15"/>
    <n v="30.3"/>
    <n v="393.90000000000003"/>
    <x v="78"/>
    <x v="75"/>
    <x v="1"/>
    <x v="4"/>
    <x v="0"/>
    <x v="0"/>
    <x v="7"/>
    <n v="1"/>
    <x v="11"/>
    <x v="1"/>
  </r>
  <r>
    <x v="2160"/>
    <x v="6"/>
    <x v="5"/>
    <n v="57.9"/>
    <n v="636.9"/>
    <x v="78"/>
    <x v="75"/>
    <x v="2"/>
    <x v="0"/>
    <x v="0"/>
    <x v="0"/>
    <x v="8"/>
    <n v="1"/>
    <x v="11"/>
    <x v="2"/>
  </r>
  <r>
    <x v="2161"/>
    <x v="1"/>
    <x v="0"/>
    <n v="96.7"/>
    <n v="96.7"/>
    <x v="78"/>
    <x v="75"/>
    <x v="1"/>
    <x v="0"/>
    <x v="0"/>
    <x v="0"/>
    <x v="8"/>
    <n v="1"/>
    <x v="11"/>
    <x v="1"/>
  </r>
  <r>
    <x v="2162"/>
    <x v="8"/>
    <x v="4"/>
    <n v="27.6"/>
    <n v="331.20000000000005"/>
    <x v="78"/>
    <x v="80"/>
    <x v="1"/>
    <x v="2"/>
    <x v="2"/>
    <x v="0"/>
    <x v="8"/>
    <n v="2"/>
    <x v="11"/>
    <x v="1"/>
  </r>
  <r>
    <x v="2163"/>
    <x v="6"/>
    <x v="12"/>
    <n v="64.7"/>
    <n v="258.8"/>
    <x v="78"/>
    <x v="78"/>
    <x v="1"/>
    <x v="3"/>
    <x v="2"/>
    <x v="0"/>
    <x v="8"/>
    <n v="0"/>
    <x v="11"/>
    <x v="1"/>
  </r>
  <r>
    <x v="2164"/>
    <x v="10"/>
    <x v="13"/>
    <n v="30.5"/>
    <n v="183"/>
    <x v="78"/>
    <x v="75"/>
    <x v="1"/>
    <x v="4"/>
    <x v="0"/>
    <x v="0"/>
    <x v="8"/>
    <n v="1"/>
    <x v="11"/>
    <x v="1"/>
  </r>
  <r>
    <x v="2165"/>
    <x v="6"/>
    <x v="47"/>
    <n v="106"/>
    <n v="7420"/>
    <x v="79"/>
    <x v="79"/>
    <x v="1"/>
    <x v="4"/>
    <x v="2"/>
    <x v="0"/>
    <x v="8"/>
    <n v="2"/>
    <x v="11"/>
    <x v="1"/>
  </r>
  <r>
    <x v="2166"/>
    <x v="12"/>
    <x v="9"/>
    <n v="76.8"/>
    <n v="384"/>
    <x v="79"/>
    <x v="87"/>
    <x v="0"/>
    <x v="1"/>
    <x v="1"/>
    <x v="0"/>
    <x v="18"/>
    <n v="6"/>
    <x v="11"/>
    <x v="0"/>
  </r>
  <r>
    <x v="2167"/>
    <x v="6"/>
    <x v="1"/>
    <n v="80.400000000000006"/>
    <n v="160.80000000000001"/>
    <x v="79"/>
    <x v="80"/>
    <x v="2"/>
    <x v="2"/>
    <x v="0"/>
    <x v="0"/>
    <x v="13"/>
    <n v="1"/>
    <x v="11"/>
    <x v="2"/>
  </r>
  <r>
    <x v="2168"/>
    <x v="6"/>
    <x v="12"/>
    <n v="69.099999999999994"/>
    <n v="276.39999999999998"/>
    <x v="79"/>
    <x v="80"/>
    <x v="1"/>
    <x v="1"/>
    <x v="2"/>
    <x v="0"/>
    <x v="21"/>
    <n v="1"/>
    <x v="11"/>
    <x v="1"/>
  </r>
  <r>
    <x v="2169"/>
    <x v="18"/>
    <x v="1"/>
    <n v="76.400000000000006"/>
    <n v="152.80000000000001"/>
    <x v="79"/>
    <x v="75"/>
    <x v="1"/>
    <x v="3"/>
    <x v="0"/>
    <x v="0"/>
    <x v="21"/>
    <n v="0"/>
    <x v="11"/>
    <x v="1"/>
  </r>
  <r>
    <x v="2170"/>
    <x v="2"/>
    <x v="1"/>
    <n v="61.3"/>
    <n v="122.6"/>
    <x v="79"/>
    <x v="80"/>
    <x v="2"/>
    <x v="1"/>
    <x v="1"/>
    <x v="0"/>
    <x v="21"/>
    <n v="1"/>
    <x v="11"/>
    <x v="2"/>
  </r>
  <r>
    <x v="2171"/>
    <x v="7"/>
    <x v="0"/>
    <n v="58"/>
    <n v="58"/>
    <x v="79"/>
    <x v="80"/>
    <x v="1"/>
    <x v="3"/>
    <x v="1"/>
    <x v="0"/>
    <x v="1"/>
    <n v="1"/>
    <x v="11"/>
    <x v="1"/>
  </r>
  <r>
    <x v="2172"/>
    <x v="2"/>
    <x v="8"/>
    <n v="102.3"/>
    <n v="818.4"/>
    <x v="79"/>
    <x v="79"/>
    <x v="1"/>
    <x v="2"/>
    <x v="0"/>
    <x v="0"/>
    <x v="42"/>
    <n v="2"/>
    <x v="11"/>
    <x v="1"/>
  </r>
  <r>
    <x v="2173"/>
    <x v="19"/>
    <x v="1"/>
    <n v="13.8"/>
    <n v="27.6"/>
    <x v="79"/>
    <x v="80"/>
    <x v="2"/>
    <x v="4"/>
    <x v="2"/>
    <x v="0"/>
    <x v="2"/>
    <n v="1"/>
    <x v="11"/>
    <x v="2"/>
  </r>
  <r>
    <x v="2174"/>
    <x v="8"/>
    <x v="2"/>
    <n v="33.299999999999997"/>
    <n v="99.899999999999991"/>
    <x v="79"/>
    <x v="77"/>
    <x v="2"/>
    <x v="2"/>
    <x v="0"/>
    <x v="0"/>
    <x v="22"/>
    <n v="3"/>
    <x v="11"/>
    <x v="2"/>
  </r>
  <r>
    <x v="2175"/>
    <x v="10"/>
    <x v="0"/>
    <n v="27.4"/>
    <n v="27.4"/>
    <x v="79"/>
    <x v="77"/>
    <x v="1"/>
    <x v="0"/>
    <x v="2"/>
    <x v="0"/>
    <x v="22"/>
    <n v="3"/>
    <x v="11"/>
    <x v="1"/>
  </r>
  <r>
    <x v="2176"/>
    <x v="14"/>
    <x v="1"/>
    <n v="25.6"/>
    <n v="51.2"/>
    <x v="79"/>
    <x v="80"/>
    <x v="2"/>
    <x v="1"/>
    <x v="1"/>
    <x v="0"/>
    <x v="3"/>
    <n v="1"/>
    <x v="11"/>
    <x v="2"/>
  </r>
  <r>
    <x v="2177"/>
    <x v="13"/>
    <x v="0"/>
    <n v="58.4"/>
    <n v="58.4"/>
    <x v="79"/>
    <x v="80"/>
    <x v="2"/>
    <x v="2"/>
    <x v="2"/>
    <x v="0"/>
    <x v="3"/>
    <n v="1"/>
    <x v="11"/>
    <x v="2"/>
  </r>
  <r>
    <x v="2178"/>
    <x v="11"/>
    <x v="17"/>
    <n v="27"/>
    <n v="810"/>
    <x v="79"/>
    <x v="80"/>
    <x v="2"/>
    <x v="4"/>
    <x v="0"/>
    <x v="0"/>
    <x v="3"/>
    <n v="1"/>
    <x v="11"/>
    <x v="2"/>
  </r>
  <r>
    <x v="2179"/>
    <x v="0"/>
    <x v="12"/>
    <n v="14.2"/>
    <n v="56.8"/>
    <x v="79"/>
    <x v="80"/>
    <x v="1"/>
    <x v="0"/>
    <x v="2"/>
    <x v="0"/>
    <x v="3"/>
    <n v="1"/>
    <x v="11"/>
    <x v="1"/>
  </r>
  <r>
    <x v="2180"/>
    <x v="7"/>
    <x v="1"/>
    <n v="68"/>
    <n v="136"/>
    <x v="79"/>
    <x v="88"/>
    <x v="1"/>
    <x v="2"/>
    <x v="1"/>
    <x v="0"/>
    <x v="3"/>
    <n v="10"/>
    <x v="11"/>
    <x v="1"/>
  </r>
  <r>
    <x v="2181"/>
    <x v="8"/>
    <x v="0"/>
    <n v="30.7"/>
    <n v="30.7"/>
    <x v="79"/>
    <x v="80"/>
    <x v="1"/>
    <x v="0"/>
    <x v="0"/>
    <x v="0"/>
    <x v="3"/>
    <n v="1"/>
    <x v="11"/>
    <x v="1"/>
  </r>
  <r>
    <x v="2182"/>
    <x v="17"/>
    <x v="15"/>
    <n v="51.6"/>
    <n v="670.80000000000007"/>
    <x v="79"/>
    <x v="77"/>
    <x v="3"/>
    <x v="1"/>
    <x v="2"/>
    <x v="0"/>
    <x v="3"/>
    <n v="3"/>
    <x v="11"/>
    <x v="3"/>
  </r>
  <r>
    <x v="2183"/>
    <x v="8"/>
    <x v="2"/>
    <n v="20.6"/>
    <n v="61.800000000000004"/>
    <x v="79"/>
    <x v="82"/>
    <x v="2"/>
    <x v="4"/>
    <x v="2"/>
    <x v="0"/>
    <x v="3"/>
    <n v="4"/>
    <x v="11"/>
    <x v="2"/>
  </r>
  <r>
    <x v="2184"/>
    <x v="8"/>
    <x v="0"/>
    <n v="24.8"/>
    <n v="24.8"/>
    <x v="79"/>
    <x v="80"/>
    <x v="1"/>
    <x v="4"/>
    <x v="0"/>
    <x v="0"/>
    <x v="3"/>
    <n v="1"/>
    <x v="11"/>
    <x v="1"/>
  </r>
  <r>
    <x v="2185"/>
    <x v="0"/>
    <x v="3"/>
    <n v="11.2"/>
    <n v="78.399999999999991"/>
    <x v="79"/>
    <x v="77"/>
    <x v="1"/>
    <x v="1"/>
    <x v="0"/>
    <x v="0"/>
    <x v="3"/>
    <n v="3"/>
    <x v="11"/>
    <x v="1"/>
  </r>
  <r>
    <x v="2186"/>
    <x v="11"/>
    <x v="1"/>
    <n v="51.2"/>
    <n v="102.4"/>
    <x v="79"/>
    <x v="80"/>
    <x v="2"/>
    <x v="1"/>
    <x v="2"/>
    <x v="0"/>
    <x v="3"/>
    <n v="1"/>
    <x v="11"/>
    <x v="2"/>
  </r>
  <r>
    <x v="2187"/>
    <x v="7"/>
    <x v="13"/>
    <n v="90.5"/>
    <n v="543"/>
    <x v="79"/>
    <x v="80"/>
    <x v="2"/>
    <x v="1"/>
    <x v="4"/>
    <x v="0"/>
    <x v="3"/>
    <n v="1"/>
    <x v="11"/>
    <x v="2"/>
  </r>
  <r>
    <x v="2188"/>
    <x v="1"/>
    <x v="1"/>
    <n v="42.4"/>
    <n v="84.8"/>
    <x v="79"/>
    <x v="80"/>
    <x v="1"/>
    <x v="1"/>
    <x v="2"/>
    <x v="0"/>
    <x v="4"/>
    <n v="1"/>
    <x v="11"/>
    <x v="1"/>
  </r>
  <r>
    <x v="2189"/>
    <x v="1"/>
    <x v="1"/>
    <n v="38.200000000000003"/>
    <n v="76.400000000000006"/>
    <x v="79"/>
    <x v="80"/>
    <x v="1"/>
    <x v="0"/>
    <x v="0"/>
    <x v="0"/>
    <x v="5"/>
    <n v="1"/>
    <x v="11"/>
    <x v="1"/>
  </r>
  <r>
    <x v="2190"/>
    <x v="2"/>
    <x v="11"/>
    <n v="121.3"/>
    <n v="1091.7"/>
    <x v="79"/>
    <x v="81"/>
    <x v="1"/>
    <x v="0"/>
    <x v="0"/>
    <x v="0"/>
    <x v="6"/>
    <n v="5"/>
    <x v="11"/>
    <x v="1"/>
  </r>
  <r>
    <x v="2191"/>
    <x v="6"/>
    <x v="1"/>
    <n v="46.9"/>
    <n v="93.8"/>
    <x v="79"/>
    <x v="86"/>
    <x v="1"/>
    <x v="0"/>
    <x v="0"/>
    <x v="0"/>
    <x v="8"/>
    <n v="7"/>
    <x v="11"/>
    <x v="1"/>
  </r>
  <r>
    <x v="2192"/>
    <x v="10"/>
    <x v="0"/>
    <n v="55.3"/>
    <n v="55.3"/>
    <x v="79"/>
    <x v="79"/>
    <x v="1"/>
    <x v="0"/>
    <x v="0"/>
    <x v="0"/>
    <x v="8"/>
    <n v="2"/>
    <x v="11"/>
    <x v="1"/>
  </r>
  <r>
    <x v="2193"/>
    <x v="2"/>
    <x v="2"/>
    <n v="70.599999999999994"/>
    <n v="211.79999999999998"/>
    <x v="80"/>
    <x v="80"/>
    <x v="2"/>
    <x v="0"/>
    <x v="1"/>
    <x v="0"/>
    <x v="8"/>
    <n v="0"/>
    <x v="11"/>
    <x v="2"/>
  </r>
  <r>
    <x v="2194"/>
    <x v="14"/>
    <x v="12"/>
    <n v="26.1"/>
    <n v="104.4"/>
    <x v="80"/>
    <x v="77"/>
    <x v="1"/>
    <x v="0"/>
    <x v="0"/>
    <x v="0"/>
    <x v="8"/>
    <n v="2"/>
    <x v="11"/>
    <x v="1"/>
  </r>
  <r>
    <x v="2195"/>
    <x v="9"/>
    <x v="5"/>
    <n v="34.5"/>
    <n v="379.5"/>
    <x v="80"/>
    <x v="81"/>
    <x v="1"/>
    <x v="2"/>
    <x v="0"/>
    <x v="0"/>
    <x v="17"/>
    <n v="4"/>
    <x v="11"/>
    <x v="1"/>
  </r>
  <r>
    <x v="2196"/>
    <x v="1"/>
    <x v="1"/>
    <n v="64.2"/>
    <n v="128.4"/>
    <x v="80"/>
    <x v="79"/>
    <x v="2"/>
    <x v="0"/>
    <x v="1"/>
    <x v="0"/>
    <x v="17"/>
    <n v="1"/>
    <x v="11"/>
    <x v="2"/>
  </r>
  <r>
    <x v="2197"/>
    <x v="2"/>
    <x v="12"/>
    <n v="145.69999999999999"/>
    <n v="582.79999999999995"/>
    <x v="80"/>
    <x v="79"/>
    <x v="2"/>
    <x v="0"/>
    <x v="4"/>
    <x v="0"/>
    <x v="17"/>
    <n v="1"/>
    <x v="11"/>
    <x v="2"/>
  </r>
  <r>
    <x v="2198"/>
    <x v="12"/>
    <x v="1"/>
    <n v="78.5"/>
    <n v="157"/>
    <x v="80"/>
    <x v="79"/>
    <x v="1"/>
    <x v="2"/>
    <x v="0"/>
    <x v="0"/>
    <x v="26"/>
    <n v="1"/>
    <x v="11"/>
    <x v="1"/>
  </r>
  <r>
    <x v="2199"/>
    <x v="1"/>
    <x v="0"/>
    <n v="34.200000000000003"/>
    <n v="34.200000000000003"/>
    <x v="80"/>
    <x v="77"/>
    <x v="1"/>
    <x v="0"/>
    <x v="0"/>
    <x v="0"/>
    <x v="9"/>
    <n v="2"/>
    <x v="11"/>
    <x v="1"/>
  </r>
  <r>
    <x v="2200"/>
    <x v="19"/>
    <x v="0"/>
    <n v="26.2"/>
    <n v="26.2"/>
    <x v="80"/>
    <x v="79"/>
    <x v="1"/>
    <x v="2"/>
    <x v="0"/>
    <x v="0"/>
    <x v="9"/>
    <n v="1"/>
    <x v="11"/>
    <x v="1"/>
  </r>
  <r>
    <x v="2201"/>
    <x v="6"/>
    <x v="12"/>
    <n v="53.2"/>
    <n v="212.8"/>
    <x v="80"/>
    <x v="79"/>
    <x v="1"/>
    <x v="1"/>
    <x v="1"/>
    <x v="0"/>
    <x v="11"/>
    <n v="1"/>
    <x v="11"/>
    <x v="1"/>
  </r>
  <r>
    <x v="2202"/>
    <x v="1"/>
    <x v="0"/>
    <n v="35.4"/>
    <n v="35.4"/>
    <x v="80"/>
    <x v="81"/>
    <x v="1"/>
    <x v="1"/>
    <x v="4"/>
    <x v="0"/>
    <x v="18"/>
    <n v="4"/>
    <x v="11"/>
    <x v="1"/>
  </r>
  <r>
    <x v="2203"/>
    <x v="14"/>
    <x v="1"/>
    <n v="21.3"/>
    <n v="42.6"/>
    <x v="80"/>
    <x v="79"/>
    <x v="1"/>
    <x v="2"/>
    <x v="0"/>
    <x v="0"/>
    <x v="20"/>
    <n v="1"/>
    <x v="11"/>
    <x v="1"/>
  </r>
  <r>
    <x v="2204"/>
    <x v="8"/>
    <x v="12"/>
    <n v="32.9"/>
    <n v="131.6"/>
    <x v="80"/>
    <x v="82"/>
    <x v="2"/>
    <x v="4"/>
    <x v="2"/>
    <x v="0"/>
    <x v="21"/>
    <n v="3"/>
    <x v="11"/>
    <x v="2"/>
  </r>
  <r>
    <x v="2205"/>
    <x v="5"/>
    <x v="20"/>
    <n v="85.5"/>
    <n v="1282.5"/>
    <x v="80"/>
    <x v="77"/>
    <x v="2"/>
    <x v="3"/>
    <x v="1"/>
    <x v="0"/>
    <x v="21"/>
    <n v="2"/>
    <x v="11"/>
    <x v="2"/>
  </r>
  <r>
    <x v="2206"/>
    <x v="4"/>
    <x v="0"/>
    <n v="26.8"/>
    <n v="26.8"/>
    <x v="80"/>
    <x v="79"/>
    <x v="2"/>
    <x v="0"/>
    <x v="1"/>
    <x v="0"/>
    <x v="2"/>
    <n v="1"/>
    <x v="11"/>
    <x v="2"/>
  </r>
  <r>
    <x v="2207"/>
    <x v="9"/>
    <x v="18"/>
    <n v="31.7"/>
    <n v="824.19999999999993"/>
    <x v="80"/>
    <x v="80"/>
    <x v="2"/>
    <x v="3"/>
    <x v="0"/>
    <x v="0"/>
    <x v="2"/>
    <n v="0"/>
    <x v="11"/>
    <x v="2"/>
  </r>
  <r>
    <x v="2208"/>
    <x v="1"/>
    <x v="1"/>
    <n v="78.3"/>
    <n v="156.6"/>
    <x v="80"/>
    <x v="77"/>
    <x v="2"/>
    <x v="1"/>
    <x v="1"/>
    <x v="0"/>
    <x v="3"/>
    <n v="2"/>
    <x v="11"/>
    <x v="2"/>
  </r>
  <r>
    <x v="2209"/>
    <x v="6"/>
    <x v="0"/>
    <n v="43.9"/>
    <n v="43.9"/>
    <x v="80"/>
    <x v="79"/>
    <x v="1"/>
    <x v="0"/>
    <x v="0"/>
    <x v="0"/>
    <x v="3"/>
    <n v="1"/>
    <x v="11"/>
    <x v="1"/>
  </r>
  <r>
    <x v="2210"/>
    <x v="18"/>
    <x v="2"/>
    <n v="84"/>
    <n v="252"/>
    <x v="80"/>
    <x v="77"/>
    <x v="0"/>
    <x v="3"/>
    <x v="2"/>
    <x v="0"/>
    <x v="3"/>
    <n v="2"/>
    <x v="11"/>
    <x v="0"/>
  </r>
  <r>
    <x v="2211"/>
    <x v="0"/>
    <x v="2"/>
    <n v="11.4"/>
    <n v="34.200000000000003"/>
    <x v="80"/>
    <x v="79"/>
    <x v="1"/>
    <x v="4"/>
    <x v="0"/>
    <x v="0"/>
    <x v="3"/>
    <n v="1"/>
    <x v="11"/>
    <x v="1"/>
  </r>
  <r>
    <x v="2212"/>
    <x v="12"/>
    <x v="8"/>
    <n v="47.5"/>
    <n v="380"/>
    <x v="80"/>
    <x v="89"/>
    <x v="2"/>
    <x v="0"/>
    <x v="0"/>
    <x v="0"/>
    <x v="3"/>
    <n v="8"/>
    <x v="11"/>
    <x v="2"/>
  </r>
  <r>
    <x v="2213"/>
    <x v="9"/>
    <x v="5"/>
    <n v="50.5"/>
    <n v="555.5"/>
    <x v="80"/>
    <x v="77"/>
    <x v="1"/>
    <x v="2"/>
    <x v="0"/>
    <x v="0"/>
    <x v="3"/>
    <n v="2"/>
    <x v="11"/>
    <x v="1"/>
  </r>
  <r>
    <x v="2214"/>
    <x v="15"/>
    <x v="0"/>
    <n v="36.299999999999997"/>
    <n v="36.299999999999997"/>
    <x v="80"/>
    <x v="82"/>
    <x v="3"/>
    <x v="0"/>
    <x v="1"/>
    <x v="0"/>
    <x v="8"/>
    <n v="3"/>
    <x v="11"/>
    <x v="3"/>
  </r>
  <r>
    <x v="2215"/>
    <x v="8"/>
    <x v="1"/>
    <n v="35.4"/>
    <n v="70.8"/>
    <x v="80"/>
    <x v="79"/>
    <x v="2"/>
    <x v="0"/>
    <x v="0"/>
    <x v="0"/>
    <x v="17"/>
    <n v="1"/>
    <x v="11"/>
    <x v="2"/>
  </r>
  <r>
    <x v="2216"/>
    <x v="1"/>
    <x v="2"/>
    <n v="45.9"/>
    <n v="137.69999999999999"/>
    <x v="81"/>
    <x v="77"/>
    <x v="1"/>
    <x v="3"/>
    <x v="0"/>
    <x v="0"/>
    <x v="9"/>
    <n v="1"/>
    <x v="12"/>
    <x v="1"/>
  </r>
  <r>
    <x v="2217"/>
    <x v="6"/>
    <x v="7"/>
    <n v="41.2"/>
    <n v="412"/>
    <x v="81"/>
    <x v="87"/>
    <x v="1"/>
    <x v="0"/>
    <x v="0"/>
    <x v="0"/>
    <x v="11"/>
    <n v="4"/>
    <x v="12"/>
    <x v="1"/>
  </r>
  <r>
    <x v="2218"/>
    <x v="17"/>
    <x v="1"/>
    <n v="45.1"/>
    <n v="90.2"/>
    <x v="81"/>
    <x v="77"/>
    <x v="1"/>
    <x v="1"/>
    <x v="1"/>
    <x v="0"/>
    <x v="21"/>
    <n v="1"/>
    <x v="12"/>
    <x v="1"/>
  </r>
  <r>
    <x v="2219"/>
    <x v="6"/>
    <x v="7"/>
    <n v="63.6"/>
    <n v="636"/>
    <x v="81"/>
    <x v="79"/>
    <x v="1"/>
    <x v="2"/>
    <x v="0"/>
    <x v="0"/>
    <x v="1"/>
    <n v="0"/>
    <x v="12"/>
    <x v="1"/>
  </r>
  <r>
    <x v="2220"/>
    <x v="8"/>
    <x v="0"/>
    <n v="70.5"/>
    <n v="70.5"/>
    <x v="81"/>
    <x v="77"/>
    <x v="1"/>
    <x v="0"/>
    <x v="0"/>
    <x v="0"/>
    <x v="3"/>
    <n v="1"/>
    <x v="12"/>
    <x v="1"/>
  </r>
  <r>
    <x v="2221"/>
    <x v="6"/>
    <x v="0"/>
    <n v="41.3"/>
    <n v="41.3"/>
    <x v="81"/>
    <x v="79"/>
    <x v="1"/>
    <x v="4"/>
    <x v="0"/>
    <x v="0"/>
    <x v="3"/>
    <n v="0"/>
    <x v="12"/>
    <x v="1"/>
  </r>
  <r>
    <x v="2222"/>
    <x v="4"/>
    <x v="0"/>
    <n v="35.299999999999997"/>
    <n v="35.299999999999997"/>
    <x v="81"/>
    <x v="81"/>
    <x v="2"/>
    <x v="4"/>
    <x v="2"/>
    <x v="0"/>
    <x v="3"/>
    <n v="3"/>
    <x v="12"/>
    <x v="2"/>
  </r>
  <r>
    <x v="2223"/>
    <x v="8"/>
    <x v="9"/>
    <n v="34.700000000000003"/>
    <n v="173.5"/>
    <x v="81"/>
    <x v="77"/>
    <x v="2"/>
    <x v="0"/>
    <x v="2"/>
    <x v="0"/>
    <x v="3"/>
    <n v="1"/>
    <x v="12"/>
    <x v="2"/>
  </r>
  <r>
    <x v="2224"/>
    <x v="8"/>
    <x v="2"/>
    <n v="26.1"/>
    <n v="78.300000000000011"/>
    <x v="81"/>
    <x v="77"/>
    <x v="2"/>
    <x v="0"/>
    <x v="0"/>
    <x v="0"/>
    <x v="3"/>
    <n v="1"/>
    <x v="12"/>
    <x v="2"/>
  </r>
  <r>
    <x v="2225"/>
    <x v="9"/>
    <x v="9"/>
    <n v="22.6"/>
    <n v="113"/>
    <x v="81"/>
    <x v="79"/>
    <x v="2"/>
    <x v="1"/>
    <x v="2"/>
    <x v="0"/>
    <x v="3"/>
    <n v="0"/>
    <x v="12"/>
    <x v="2"/>
  </r>
  <r>
    <x v="2226"/>
    <x v="2"/>
    <x v="1"/>
    <n v="154.4"/>
    <n v="308.8"/>
    <x v="81"/>
    <x v="81"/>
    <x v="1"/>
    <x v="1"/>
    <x v="1"/>
    <x v="0"/>
    <x v="3"/>
    <n v="3"/>
    <x v="12"/>
    <x v="1"/>
  </r>
  <r>
    <x v="2227"/>
    <x v="8"/>
    <x v="1"/>
    <n v="18.399999999999999"/>
    <n v="36.799999999999997"/>
    <x v="81"/>
    <x v="77"/>
    <x v="1"/>
    <x v="0"/>
    <x v="0"/>
    <x v="0"/>
    <x v="3"/>
    <n v="1"/>
    <x v="12"/>
    <x v="1"/>
  </r>
  <r>
    <x v="2228"/>
    <x v="14"/>
    <x v="0"/>
    <n v="25"/>
    <n v="25"/>
    <x v="81"/>
    <x v="81"/>
    <x v="2"/>
    <x v="0"/>
    <x v="0"/>
    <x v="0"/>
    <x v="3"/>
    <n v="3"/>
    <x v="12"/>
    <x v="2"/>
  </r>
  <r>
    <x v="2229"/>
    <x v="2"/>
    <x v="13"/>
    <n v="105.6"/>
    <n v="633.59999999999991"/>
    <x v="81"/>
    <x v="79"/>
    <x v="2"/>
    <x v="0"/>
    <x v="0"/>
    <x v="0"/>
    <x v="3"/>
    <n v="0"/>
    <x v="12"/>
    <x v="2"/>
  </r>
  <r>
    <x v="2230"/>
    <x v="18"/>
    <x v="8"/>
    <n v="59.6"/>
    <n v="476.8"/>
    <x v="81"/>
    <x v="79"/>
    <x v="2"/>
    <x v="0"/>
    <x v="2"/>
    <x v="0"/>
    <x v="23"/>
    <n v="0"/>
    <x v="12"/>
    <x v="2"/>
  </r>
  <r>
    <x v="2231"/>
    <x v="15"/>
    <x v="2"/>
    <n v="75.400000000000006"/>
    <n v="226.20000000000002"/>
    <x v="81"/>
    <x v="86"/>
    <x v="1"/>
    <x v="0"/>
    <x v="1"/>
    <x v="0"/>
    <x v="7"/>
    <n v="5"/>
    <x v="12"/>
    <x v="1"/>
  </r>
  <r>
    <x v="2232"/>
    <x v="7"/>
    <x v="0"/>
    <n v="104.4"/>
    <n v="104.4"/>
    <x v="81"/>
    <x v="77"/>
    <x v="2"/>
    <x v="0"/>
    <x v="0"/>
    <x v="0"/>
    <x v="8"/>
    <n v="1"/>
    <x v="12"/>
    <x v="2"/>
  </r>
  <r>
    <x v="2233"/>
    <x v="2"/>
    <x v="7"/>
    <n v="208.2"/>
    <n v="2082"/>
    <x v="81"/>
    <x v="77"/>
    <x v="1"/>
    <x v="0"/>
    <x v="2"/>
    <x v="0"/>
    <x v="8"/>
    <n v="1"/>
    <x v="12"/>
    <x v="1"/>
  </r>
  <r>
    <x v="2234"/>
    <x v="6"/>
    <x v="1"/>
    <n v="45"/>
    <n v="90"/>
    <x v="81"/>
    <x v="81"/>
    <x v="2"/>
    <x v="0"/>
    <x v="0"/>
    <x v="0"/>
    <x v="10"/>
    <n v="3"/>
    <x v="12"/>
    <x v="2"/>
  </r>
  <r>
    <x v="2235"/>
    <x v="15"/>
    <x v="1"/>
    <n v="20.3"/>
    <n v="40.6"/>
    <x v="82"/>
    <x v="81"/>
    <x v="0"/>
    <x v="1"/>
    <x v="0"/>
    <x v="0"/>
    <x v="11"/>
    <n v="2"/>
    <x v="12"/>
    <x v="0"/>
  </r>
  <r>
    <x v="2236"/>
    <x v="2"/>
    <x v="2"/>
    <n v="94.4"/>
    <n v="283.20000000000005"/>
    <x v="82"/>
    <x v="82"/>
    <x v="2"/>
    <x v="0"/>
    <x v="2"/>
    <x v="0"/>
    <x v="11"/>
    <n v="1"/>
    <x v="12"/>
    <x v="2"/>
  </r>
  <r>
    <x v="2237"/>
    <x v="9"/>
    <x v="0"/>
    <n v="49"/>
    <n v="49"/>
    <x v="82"/>
    <x v="81"/>
    <x v="2"/>
    <x v="0"/>
    <x v="2"/>
    <x v="0"/>
    <x v="20"/>
    <n v="2"/>
    <x v="12"/>
    <x v="2"/>
  </r>
  <r>
    <x v="2238"/>
    <x v="4"/>
    <x v="1"/>
    <n v="27.2"/>
    <n v="54.4"/>
    <x v="82"/>
    <x v="81"/>
    <x v="1"/>
    <x v="0"/>
    <x v="2"/>
    <x v="0"/>
    <x v="1"/>
    <n v="2"/>
    <x v="12"/>
    <x v="1"/>
  </r>
  <r>
    <x v="2239"/>
    <x v="2"/>
    <x v="13"/>
    <n v="72.599999999999994"/>
    <n v="435.59999999999997"/>
    <x v="82"/>
    <x v="82"/>
    <x v="2"/>
    <x v="0"/>
    <x v="2"/>
    <x v="0"/>
    <x v="2"/>
    <n v="1"/>
    <x v="12"/>
    <x v="2"/>
  </r>
  <r>
    <x v="2240"/>
    <x v="15"/>
    <x v="12"/>
    <n v="62.4"/>
    <n v="249.6"/>
    <x v="82"/>
    <x v="82"/>
    <x v="2"/>
    <x v="0"/>
    <x v="0"/>
    <x v="0"/>
    <x v="3"/>
    <n v="1"/>
    <x v="12"/>
    <x v="2"/>
  </r>
  <r>
    <x v="2241"/>
    <x v="8"/>
    <x v="2"/>
    <n v="19.100000000000001"/>
    <n v="57.300000000000004"/>
    <x v="82"/>
    <x v="81"/>
    <x v="1"/>
    <x v="0"/>
    <x v="1"/>
    <x v="0"/>
    <x v="3"/>
    <n v="2"/>
    <x v="12"/>
    <x v="1"/>
  </r>
  <r>
    <x v="2242"/>
    <x v="10"/>
    <x v="0"/>
    <n v="29.6"/>
    <n v="29.6"/>
    <x v="82"/>
    <x v="86"/>
    <x v="1"/>
    <x v="0"/>
    <x v="4"/>
    <x v="0"/>
    <x v="3"/>
    <n v="4"/>
    <x v="12"/>
    <x v="1"/>
  </r>
  <r>
    <x v="2243"/>
    <x v="8"/>
    <x v="1"/>
    <n v="18.899999999999999"/>
    <n v="37.799999999999997"/>
    <x v="82"/>
    <x v="81"/>
    <x v="2"/>
    <x v="4"/>
    <x v="2"/>
    <x v="0"/>
    <x v="3"/>
    <n v="2"/>
    <x v="12"/>
    <x v="2"/>
  </r>
  <r>
    <x v="2244"/>
    <x v="10"/>
    <x v="9"/>
    <n v="41.4"/>
    <n v="207"/>
    <x v="82"/>
    <x v="82"/>
    <x v="1"/>
    <x v="3"/>
    <x v="0"/>
    <x v="0"/>
    <x v="3"/>
    <n v="1"/>
    <x v="12"/>
    <x v="1"/>
  </r>
  <r>
    <x v="2245"/>
    <x v="2"/>
    <x v="0"/>
    <n v="118.4"/>
    <n v="118.4"/>
    <x v="82"/>
    <x v="82"/>
    <x v="2"/>
    <x v="0"/>
    <x v="2"/>
    <x v="0"/>
    <x v="3"/>
    <n v="1"/>
    <x v="12"/>
    <x v="2"/>
  </r>
  <r>
    <x v="2246"/>
    <x v="2"/>
    <x v="1"/>
    <n v="125.3"/>
    <n v="250.6"/>
    <x v="82"/>
    <x v="87"/>
    <x v="2"/>
    <x v="0"/>
    <x v="2"/>
    <x v="0"/>
    <x v="3"/>
    <n v="3"/>
    <x v="12"/>
    <x v="2"/>
  </r>
  <r>
    <x v="2247"/>
    <x v="3"/>
    <x v="1"/>
    <n v="85.8"/>
    <n v="171.6"/>
    <x v="82"/>
    <x v="82"/>
    <x v="2"/>
    <x v="1"/>
    <x v="4"/>
    <x v="0"/>
    <x v="3"/>
    <n v="1"/>
    <x v="12"/>
    <x v="2"/>
  </r>
  <r>
    <x v="2248"/>
    <x v="6"/>
    <x v="0"/>
    <n v="44.2"/>
    <n v="44.2"/>
    <x v="82"/>
    <x v="87"/>
    <x v="1"/>
    <x v="1"/>
    <x v="0"/>
    <x v="0"/>
    <x v="3"/>
    <n v="3"/>
    <x v="12"/>
    <x v="1"/>
  </r>
  <r>
    <x v="2249"/>
    <x v="5"/>
    <x v="12"/>
    <n v="74.099999999999994"/>
    <n v="296.39999999999998"/>
    <x v="82"/>
    <x v="81"/>
    <x v="2"/>
    <x v="0"/>
    <x v="0"/>
    <x v="0"/>
    <x v="3"/>
    <n v="2"/>
    <x v="12"/>
    <x v="2"/>
  </r>
  <r>
    <x v="2250"/>
    <x v="8"/>
    <x v="0"/>
    <n v="33.799999999999997"/>
    <n v="33.799999999999997"/>
    <x v="82"/>
    <x v="82"/>
    <x v="2"/>
    <x v="2"/>
    <x v="2"/>
    <x v="0"/>
    <x v="24"/>
    <n v="1"/>
    <x v="12"/>
    <x v="2"/>
  </r>
  <r>
    <x v="2251"/>
    <x v="1"/>
    <x v="1"/>
    <n v="39.1"/>
    <n v="78.2"/>
    <x v="82"/>
    <x v="82"/>
    <x v="1"/>
    <x v="0"/>
    <x v="1"/>
    <x v="0"/>
    <x v="24"/>
    <n v="1"/>
    <x v="12"/>
    <x v="1"/>
  </r>
  <r>
    <x v="2252"/>
    <x v="0"/>
    <x v="0"/>
    <n v="37.200000000000003"/>
    <n v="37.200000000000003"/>
    <x v="82"/>
    <x v="82"/>
    <x v="1"/>
    <x v="0"/>
    <x v="1"/>
    <x v="0"/>
    <x v="16"/>
    <n v="1"/>
    <x v="12"/>
    <x v="1"/>
  </r>
  <r>
    <x v="2253"/>
    <x v="15"/>
    <x v="2"/>
    <n v="33.9"/>
    <n v="101.69999999999999"/>
    <x v="82"/>
    <x v="81"/>
    <x v="1"/>
    <x v="2"/>
    <x v="0"/>
    <x v="0"/>
    <x v="6"/>
    <n v="2"/>
    <x v="12"/>
    <x v="1"/>
  </r>
  <r>
    <x v="2254"/>
    <x v="7"/>
    <x v="20"/>
    <n v="73.3"/>
    <n v="1099.5"/>
    <x v="82"/>
    <x v="87"/>
    <x v="2"/>
    <x v="2"/>
    <x v="1"/>
    <x v="0"/>
    <x v="8"/>
    <n v="3"/>
    <x v="12"/>
    <x v="2"/>
  </r>
  <r>
    <x v="2255"/>
    <x v="8"/>
    <x v="12"/>
    <n v="35"/>
    <n v="140"/>
    <x v="82"/>
    <x v="81"/>
    <x v="2"/>
    <x v="1"/>
    <x v="0"/>
    <x v="0"/>
    <x v="8"/>
    <n v="2"/>
    <x v="12"/>
    <x v="2"/>
  </r>
  <r>
    <x v="2256"/>
    <x v="0"/>
    <x v="2"/>
    <n v="22.2"/>
    <n v="66.599999999999994"/>
    <x v="82"/>
    <x v="82"/>
    <x v="1"/>
    <x v="1"/>
    <x v="0"/>
    <x v="0"/>
    <x v="17"/>
    <n v="1"/>
    <x v="12"/>
    <x v="1"/>
  </r>
  <r>
    <x v="2257"/>
    <x v="10"/>
    <x v="0"/>
    <n v="32.4"/>
    <n v="32.4"/>
    <x v="82"/>
    <x v="82"/>
    <x v="2"/>
    <x v="0"/>
    <x v="0"/>
    <x v="0"/>
    <x v="11"/>
    <n v="1"/>
    <x v="12"/>
    <x v="2"/>
  </r>
  <r>
    <x v="2258"/>
    <x v="5"/>
    <x v="2"/>
    <n v="88.4"/>
    <n v="265.20000000000005"/>
    <x v="83"/>
    <x v="87"/>
    <x v="2"/>
    <x v="1"/>
    <x v="1"/>
    <x v="0"/>
    <x v="11"/>
    <n v="2"/>
    <x v="12"/>
    <x v="2"/>
  </r>
  <r>
    <x v="2259"/>
    <x v="5"/>
    <x v="27"/>
    <n v="30.5"/>
    <n v="488"/>
    <x v="83"/>
    <x v="81"/>
    <x v="2"/>
    <x v="2"/>
    <x v="0"/>
    <x v="0"/>
    <x v="11"/>
    <n v="1"/>
    <x v="12"/>
    <x v="2"/>
  </r>
  <r>
    <x v="2260"/>
    <x v="1"/>
    <x v="13"/>
    <n v="38.1"/>
    <n v="228.60000000000002"/>
    <x v="83"/>
    <x v="87"/>
    <x v="2"/>
    <x v="0"/>
    <x v="1"/>
    <x v="0"/>
    <x v="11"/>
    <n v="2"/>
    <x v="12"/>
    <x v="2"/>
  </r>
  <r>
    <x v="2261"/>
    <x v="10"/>
    <x v="9"/>
    <n v="37.6"/>
    <n v="188"/>
    <x v="83"/>
    <x v="90"/>
    <x v="1"/>
    <x v="0"/>
    <x v="0"/>
    <x v="0"/>
    <x v="11"/>
    <n v="4"/>
    <x v="12"/>
    <x v="1"/>
  </r>
  <r>
    <x v="2262"/>
    <x v="15"/>
    <x v="1"/>
    <n v="31.4"/>
    <n v="62.8"/>
    <x v="83"/>
    <x v="81"/>
    <x v="1"/>
    <x v="0"/>
    <x v="2"/>
    <x v="0"/>
    <x v="11"/>
    <n v="1"/>
    <x v="12"/>
    <x v="1"/>
  </r>
  <r>
    <x v="2263"/>
    <x v="6"/>
    <x v="1"/>
    <n v="61.5"/>
    <n v="123"/>
    <x v="83"/>
    <x v="81"/>
    <x v="1"/>
    <x v="3"/>
    <x v="0"/>
    <x v="0"/>
    <x v="31"/>
    <n v="1"/>
    <x v="12"/>
    <x v="1"/>
  </r>
  <r>
    <x v="2264"/>
    <x v="6"/>
    <x v="0"/>
    <n v="72.599999999999994"/>
    <n v="72.599999999999994"/>
    <x v="83"/>
    <x v="81"/>
    <x v="1"/>
    <x v="0"/>
    <x v="1"/>
    <x v="0"/>
    <x v="21"/>
    <n v="1"/>
    <x v="12"/>
    <x v="1"/>
  </r>
  <r>
    <x v="2265"/>
    <x v="9"/>
    <x v="2"/>
    <n v="26.9"/>
    <n v="80.699999999999989"/>
    <x v="83"/>
    <x v="89"/>
    <x v="3"/>
    <x v="4"/>
    <x v="1"/>
    <x v="0"/>
    <x v="46"/>
    <n v="5"/>
    <x v="12"/>
    <x v="3"/>
  </r>
  <r>
    <x v="2266"/>
    <x v="17"/>
    <x v="4"/>
    <n v="29.4"/>
    <n v="352.79999999999995"/>
    <x v="83"/>
    <x v="81"/>
    <x v="2"/>
    <x v="1"/>
    <x v="0"/>
    <x v="0"/>
    <x v="51"/>
    <n v="1"/>
    <x v="12"/>
    <x v="2"/>
  </r>
  <r>
    <x v="2267"/>
    <x v="17"/>
    <x v="1"/>
    <n v="42.1"/>
    <n v="84.2"/>
    <x v="83"/>
    <x v="81"/>
    <x v="2"/>
    <x v="3"/>
    <x v="1"/>
    <x v="0"/>
    <x v="1"/>
    <n v="1"/>
    <x v="12"/>
    <x v="2"/>
  </r>
  <r>
    <x v="2268"/>
    <x v="5"/>
    <x v="0"/>
    <n v="40.5"/>
    <n v="40.5"/>
    <x v="83"/>
    <x v="81"/>
    <x v="2"/>
    <x v="2"/>
    <x v="1"/>
    <x v="0"/>
    <x v="1"/>
    <n v="1"/>
    <x v="12"/>
    <x v="2"/>
  </r>
  <r>
    <x v="2269"/>
    <x v="2"/>
    <x v="12"/>
    <n v="182.3"/>
    <n v="729.2"/>
    <x v="83"/>
    <x v="81"/>
    <x v="2"/>
    <x v="1"/>
    <x v="0"/>
    <x v="0"/>
    <x v="1"/>
    <n v="1"/>
    <x v="12"/>
    <x v="2"/>
  </r>
  <r>
    <x v="2270"/>
    <x v="2"/>
    <x v="9"/>
    <n v="157"/>
    <n v="785"/>
    <x v="83"/>
    <x v="86"/>
    <x v="2"/>
    <x v="1"/>
    <x v="2"/>
    <x v="0"/>
    <x v="2"/>
    <n v="3"/>
    <x v="12"/>
    <x v="2"/>
  </r>
  <r>
    <x v="2271"/>
    <x v="17"/>
    <x v="9"/>
    <n v="45.2"/>
    <n v="226"/>
    <x v="83"/>
    <x v="86"/>
    <x v="2"/>
    <x v="1"/>
    <x v="0"/>
    <x v="0"/>
    <x v="22"/>
    <n v="3"/>
    <x v="12"/>
    <x v="2"/>
  </r>
  <r>
    <x v="2272"/>
    <x v="15"/>
    <x v="12"/>
    <n v="27.4"/>
    <n v="109.6"/>
    <x v="83"/>
    <x v="87"/>
    <x v="2"/>
    <x v="0"/>
    <x v="0"/>
    <x v="0"/>
    <x v="3"/>
    <n v="2"/>
    <x v="12"/>
    <x v="2"/>
  </r>
  <r>
    <x v="2273"/>
    <x v="5"/>
    <x v="9"/>
    <n v="34.1"/>
    <n v="170.5"/>
    <x v="83"/>
    <x v="87"/>
    <x v="1"/>
    <x v="0"/>
    <x v="2"/>
    <x v="0"/>
    <x v="3"/>
    <n v="2"/>
    <x v="12"/>
    <x v="1"/>
  </r>
  <r>
    <x v="2274"/>
    <x v="0"/>
    <x v="1"/>
    <n v="26"/>
    <n v="52"/>
    <x v="83"/>
    <x v="87"/>
    <x v="1"/>
    <x v="2"/>
    <x v="1"/>
    <x v="0"/>
    <x v="3"/>
    <n v="2"/>
    <x v="12"/>
    <x v="1"/>
  </r>
  <r>
    <x v="2275"/>
    <x v="8"/>
    <x v="3"/>
    <n v="19.399999999999999"/>
    <n v="135.79999999999998"/>
    <x v="83"/>
    <x v="87"/>
    <x v="0"/>
    <x v="1"/>
    <x v="1"/>
    <x v="0"/>
    <x v="3"/>
    <n v="2"/>
    <x v="12"/>
    <x v="0"/>
  </r>
  <r>
    <x v="2276"/>
    <x v="16"/>
    <x v="2"/>
    <n v="30.3"/>
    <n v="90.9"/>
    <x v="83"/>
    <x v="86"/>
    <x v="2"/>
    <x v="1"/>
    <x v="2"/>
    <x v="0"/>
    <x v="3"/>
    <n v="3"/>
    <x v="12"/>
    <x v="2"/>
  </r>
  <r>
    <x v="2277"/>
    <x v="2"/>
    <x v="2"/>
    <n v="101.4"/>
    <n v="304.20000000000005"/>
    <x v="83"/>
    <x v="81"/>
    <x v="1"/>
    <x v="0"/>
    <x v="0"/>
    <x v="0"/>
    <x v="3"/>
    <n v="1"/>
    <x v="12"/>
    <x v="1"/>
  </r>
  <r>
    <x v="2278"/>
    <x v="3"/>
    <x v="9"/>
    <n v="55.5"/>
    <n v="277.5"/>
    <x v="83"/>
    <x v="86"/>
    <x v="1"/>
    <x v="1"/>
    <x v="0"/>
    <x v="0"/>
    <x v="24"/>
    <n v="3"/>
    <x v="12"/>
    <x v="1"/>
  </r>
  <r>
    <x v="2279"/>
    <x v="8"/>
    <x v="0"/>
    <n v="23.1"/>
    <n v="23.1"/>
    <x v="83"/>
    <x v="81"/>
    <x v="1"/>
    <x v="0"/>
    <x v="0"/>
    <x v="0"/>
    <x v="25"/>
    <n v="1"/>
    <x v="12"/>
    <x v="1"/>
  </r>
  <r>
    <x v="2280"/>
    <x v="18"/>
    <x v="1"/>
    <n v="38.9"/>
    <n v="77.8"/>
    <x v="83"/>
    <x v="81"/>
    <x v="1"/>
    <x v="2"/>
    <x v="0"/>
    <x v="0"/>
    <x v="25"/>
    <n v="1"/>
    <x v="12"/>
    <x v="1"/>
  </r>
  <r>
    <x v="2281"/>
    <x v="6"/>
    <x v="11"/>
    <n v="116.3"/>
    <n v="1046.7"/>
    <x v="83"/>
    <x v="90"/>
    <x v="2"/>
    <x v="0"/>
    <x v="0"/>
    <x v="0"/>
    <x v="5"/>
    <n v="4"/>
    <x v="12"/>
    <x v="2"/>
  </r>
  <r>
    <x v="2282"/>
    <x v="16"/>
    <x v="11"/>
    <n v="64.099999999999994"/>
    <n v="576.9"/>
    <x v="83"/>
    <x v="82"/>
    <x v="2"/>
    <x v="0"/>
    <x v="2"/>
    <x v="0"/>
    <x v="6"/>
    <n v="0"/>
    <x v="12"/>
    <x v="2"/>
  </r>
  <r>
    <x v="2283"/>
    <x v="2"/>
    <x v="13"/>
    <n v="109.2"/>
    <n v="655.20000000000005"/>
    <x v="83"/>
    <x v="87"/>
    <x v="1"/>
    <x v="0"/>
    <x v="1"/>
    <x v="0"/>
    <x v="8"/>
    <n v="2"/>
    <x v="12"/>
    <x v="1"/>
  </r>
  <r>
    <x v="2284"/>
    <x v="10"/>
    <x v="9"/>
    <n v="23.2"/>
    <n v="116"/>
    <x v="84"/>
    <x v="87"/>
    <x v="1"/>
    <x v="0"/>
    <x v="1"/>
    <x v="0"/>
    <x v="8"/>
    <n v="1"/>
    <x v="12"/>
    <x v="1"/>
  </r>
  <r>
    <x v="2285"/>
    <x v="18"/>
    <x v="13"/>
    <n v="81.2"/>
    <n v="487.20000000000005"/>
    <x v="84"/>
    <x v="86"/>
    <x v="1"/>
    <x v="2"/>
    <x v="2"/>
    <x v="0"/>
    <x v="8"/>
    <n v="2"/>
    <x v="12"/>
    <x v="1"/>
  </r>
  <r>
    <x v="2286"/>
    <x v="1"/>
    <x v="21"/>
    <n v="35.700000000000003"/>
    <n v="499.80000000000007"/>
    <x v="84"/>
    <x v="87"/>
    <x v="1"/>
    <x v="3"/>
    <x v="0"/>
    <x v="0"/>
    <x v="8"/>
    <n v="1"/>
    <x v="12"/>
    <x v="1"/>
  </r>
  <r>
    <x v="2287"/>
    <x v="7"/>
    <x v="1"/>
    <n v="44.5"/>
    <n v="89"/>
    <x v="84"/>
    <x v="90"/>
    <x v="1"/>
    <x v="4"/>
    <x v="0"/>
    <x v="0"/>
    <x v="9"/>
    <n v="3"/>
    <x v="12"/>
    <x v="1"/>
  </r>
  <r>
    <x v="2288"/>
    <x v="1"/>
    <x v="9"/>
    <n v="32"/>
    <n v="160"/>
    <x v="84"/>
    <x v="86"/>
    <x v="3"/>
    <x v="1"/>
    <x v="1"/>
    <x v="0"/>
    <x v="9"/>
    <n v="2"/>
    <x v="12"/>
    <x v="3"/>
  </r>
  <r>
    <x v="2289"/>
    <x v="8"/>
    <x v="0"/>
    <n v="25.7"/>
    <n v="25.7"/>
    <x v="84"/>
    <x v="87"/>
    <x v="1"/>
    <x v="0"/>
    <x v="0"/>
    <x v="0"/>
    <x v="10"/>
    <n v="1"/>
    <x v="12"/>
    <x v="1"/>
  </r>
  <r>
    <x v="2290"/>
    <x v="16"/>
    <x v="2"/>
    <n v="65.599999999999994"/>
    <n v="196.79999999999998"/>
    <x v="84"/>
    <x v="84"/>
    <x v="1"/>
    <x v="0"/>
    <x v="0"/>
    <x v="0"/>
    <x v="11"/>
    <n v="6"/>
    <x v="12"/>
    <x v="1"/>
  </r>
  <r>
    <x v="2291"/>
    <x v="1"/>
    <x v="12"/>
    <n v="52.1"/>
    <n v="208.4"/>
    <x v="84"/>
    <x v="87"/>
    <x v="2"/>
    <x v="0"/>
    <x v="2"/>
    <x v="0"/>
    <x v="11"/>
    <n v="1"/>
    <x v="12"/>
    <x v="2"/>
  </r>
  <r>
    <x v="2292"/>
    <x v="8"/>
    <x v="0"/>
    <n v="31"/>
    <n v="31"/>
    <x v="84"/>
    <x v="87"/>
    <x v="1"/>
    <x v="0"/>
    <x v="1"/>
    <x v="0"/>
    <x v="19"/>
    <n v="1"/>
    <x v="12"/>
    <x v="1"/>
  </r>
  <r>
    <x v="2293"/>
    <x v="8"/>
    <x v="0"/>
    <n v="32"/>
    <n v="32"/>
    <x v="84"/>
    <x v="86"/>
    <x v="3"/>
    <x v="3"/>
    <x v="1"/>
    <x v="0"/>
    <x v="31"/>
    <n v="2"/>
    <x v="12"/>
    <x v="3"/>
  </r>
  <r>
    <x v="2294"/>
    <x v="16"/>
    <x v="12"/>
    <n v="58.3"/>
    <n v="233.2"/>
    <x v="84"/>
    <x v="89"/>
    <x v="1"/>
    <x v="1"/>
    <x v="4"/>
    <x v="0"/>
    <x v="20"/>
    <n v="4"/>
    <x v="12"/>
    <x v="1"/>
  </r>
  <r>
    <x v="2295"/>
    <x v="8"/>
    <x v="2"/>
    <n v="31"/>
    <n v="93"/>
    <x v="84"/>
    <x v="86"/>
    <x v="2"/>
    <x v="2"/>
    <x v="4"/>
    <x v="0"/>
    <x v="13"/>
    <n v="2"/>
    <x v="12"/>
    <x v="2"/>
  </r>
  <r>
    <x v="2296"/>
    <x v="3"/>
    <x v="0"/>
    <n v="40.299999999999997"/>
    <n v="40.299999999999997"/>
    <x v="84"/>
    <x v="87"/>
    <x v="1"/>
    <x v="1"/>
    <x v="2"/>
    <x v="0"/>
    <x v="54"/>
    <n v="1"/>
    <x v="12"/>
    <x v="1"/>
  </r>
  <r>
    <x v="2297"/>
    <x v="6"/>
    <x v="2"/>
    <n v="47.3"/>
    <n v="141.89999999999998"/>
    <x v="84"/>
    <x v="86"/>
    <x v="1"/>
    <x v="4"/>
    <x v="2"/>
    <x v="0"/>
    <x v="2"/>
    <n v="2"/>
    <x v="12"/>
    <x v="1"/>
  </r>
  <r>
    <x v="2298"/>
    <x v="2"/>
    <x v="0"/>
    <n v="82.8"/>
    <n v="82.8"/>
    <x v="84"/>
    <x v="87"/>
    <x v="1"/>
    <x v="0"/>
    <x v="0"/>
    <x v="0"/>
    <x v="2"/>
    <n v="1"/>
    <x v="12"/>
    <x v="1"/>
  </r>
  <r>
    <x v="2299"/>
    <x v="8"/>
    <x v="0"/>
    <n v="18.5"/>
    <n v="18.5"/>
    <x v="84"/>
    <x v="91"/>
    <x v="2"/>
    <x v="0"/>
    <x v="0"/>
    <x v="0"/>
    <x v="44"/>
    <n v="14"/>
    <x v="12"/>
    <x v="2"/>
  </r>
  <r>
    <x v="2300"/>
    <x v="3"/>
    <x v="1"/>
    <n v="60.4"/>
    <n v="120.8"/>
    <x v="84"/>
    <x v="87"/>
    <x v="1"/>
    <x v="2"/>
    <x v="0"/>
    <x v="0"/>
    <x v="22"/>
    <n v="1"/>
    <x v="12"/>
    <x v="1"/>
  </r>
  <r>
    <x v="2301"/>
    <x v="6"/>
    <x v="9"/>
    <n v="80.2"/>
    <n v="401"/>
    <x v="84"/>
    <x v="92"/>
    <x v="1"/>
    <x v="1"/>
    <x v="1"/>
    <x v="0"/>
    <x v="50"/>
    <n v="7"/>
    <x v="12"/>
    <x v="1"/>
  </r>
  <r>
    <x v="2302"/>
    <x v="4"/>
    <x v="0"/>
    <n v="41.5"/>
    <n v="41.5"/>
    <x v="84"/>
    <x v="86"/>
    <x v="1"/>
    <x v="2"/>
    <x v="0"/>
    <x v="0"/>
    <x v="3"/>
    <n v="2"/>
    <x v="12"/>
    <x v="1"/>
  </r>
  <r>
    <x v="2303"/>
    <x v="2"/>
    <x v="1"/>
    <n v="83.9"/>
    <n v="167.8"/>
    <x v="84"/>
    <x v="90"/>
    <x v="2"/>
    <x v="0"/>
    <x v="0"/>
    <x v="0"/>
    <x v="3"/>
    <n v="3"/>
    <x v="12"/>
    <x v="2"/>
  </r>
  <r>
    <x v="2304"/>
    <x v="8"/>
    <x v="1"/>
    <n v="16.7"/>
    <n v="33.4"/>
    <x v="84"/>
    <x v="89"/>
    <x v="2"/>
    <x v="0"/>
    <x v="1"/>
    <x v="0"/>
    <x v="3"/>
    <n v="4"/>
    <x v="12"/>
    <x v="2"/>
  </r>
  <r>
    <x v="2305"/>
    <x v="9"/>
    <x v="1"/>
    <n v="72.900000000000006"/>
    <n v="145.80000000000001"/>
    <x v="84"/>
    <x v="87"/>
    <x v="1"/>
    <x v="2"/>
    <x v="1"/>
    <x v="0"/>
    <x v="3"/>
    <n v="1"/>
    <x v="12"/>
    <x v="1"/>
  </r>
  <r>
    <x v="2306"/>
    <x v="5"/>
    <x v="1"/>
    <n v="50.2"/>
    <n v="100.4"/>
    <x v="84"/>
    <x v="86"/>
    <x v="2"/>
    <x v="1"/>
    <x v="2"/>
    <x v="0"/>
    <x v="3"/>
    <n v="2"/>
    <x v="12"/>
    <x v="2"/>
  </r>
  <r>
    <x v="2307"/>
    <x v="3"/>
    <x v="1"/>
    <n v="34.200000000000003"/>
    <n v="68.400000000000006"/>
    <x v="84"/>
    <x v="93"/>
    <x v="0"/>
    <x v="1"/>
    <x v="0"/>
    <x v="0"/>
    <x v="3"/>
    <n v="10"/>
    <x v="12"/>
    <x v="0"/>
  </r>
  <r>
    <x v="2308"/>
    <x v="5"/>
    <x v="1"/>
    <n v="107.9"/>
    <n v="215.8"/>
    <x v="84"/>
    <x v="81"/>
    <x v="1"/>
    <x v="1"/>
    <x v="4"/>
    <x v="0"/>
    <x v="3"/>
    <n v="0"/>
    <x v="12"/>
    <x v="1"/>
  </r>
  <r>
    <x v="2309"/>
    <x v="0"/>
    <x v="2"/>
    <n v="17.5"/>
    <n v="52.5"/>
    <x v="84"/>
    <x v="86"/>
    <x v="1"/>
    <x v="4"/>
    <x v="0"/>
    <x v="0"/>
    <x v="3"/>
    <n v="2"/>
    <x v="12"/>
    <x v="1"/>
  </r>
  <r>
    <x v="2310"/>
    <x v="13"/>
    <x v="20"/>
    <n v="44.7"/>
    <n v="670.5"/>
    <x v="84"/>
    <x v="87"/>
    <x v="1"/>
    <x v="0"/>
    <x v="1"/>
    <x v="0"/>
    <x v="3"/>
    <n v="1"/>
    <x v="12"/>
    <x v="1"/>
  </r>
  <r>
    <x v="2311"/>
    <x v="12"/>
    <x v="13"/>
    <n v="92.7"/>
    <n v="556.20000000000005"/>
    <x v="84"/>
    <x v="86"/>
    <x v="2"/>
    <x v="2"/>
    <x v="1"/>
    <x v="0"/>
    <x v="3"/>
    <n v="2"/>
    <x v="12"/>
    <x v="2"/>
  </r>
  <r>
    <x v="2312"/>
    <x v="7"/>
    <x v="2"/>
    <n v="48.8"/>
    <n v="146.39999999999998"/>
    <x v="84"/>
    <x v="86"/>
    <x v="2"/>
    <x v="2"/>
    <x v="0"/>
    <x v="0"/>
    <x v="3"/>
    <n v="2"/>
    <x v="12"/>
    <x v="2"/>
  </r>
  <r>
    <x v="2313"/>
    <x v="4"/>
    <x v="27"/>
    <n v="21.3"/>
    <n v="340.8"/>
    <x v="84"/>
    <x v="89"/>
    <x v="2"/>
    <x v="3"/>
    <x v="3"/>
    <x v="0"/>
    <x v="3"/>
    <n v="4"/>
    <x v="12"/>
    <x v="2"/>
  </r>
  <r>
    <x v="2314"/>
    <x v="16"/>
    <x v="0"/>
    <n v="52.5"/>
    <n v="52.5"/>
    <x v="84"/>
    <x v="87"/>
    <x v="2"/>
    <x v="0"/>
    <x v="0"/>
    <x v="0"/>
    <x v="3"/>
    <n v="1"/>
    <x v="12"/>
    <x v="2"/>
  </r>
  <r>
    <x v="2315"/>
    <x v="1"/>
    <x v="1"/>
    <n v="92.4"/>
    <n v="184.8"/>
    <x v="84"/>
    <x v="84"/>
    <x v="2"/>
    <x v="0"/>
    <x v="2"/>
    <x v="0"/>
    <x v="3"/>
    <n v="6"/>
    <x v="12"/>
    <x v="2"/>
  </r>
  <r>
    <x v="2316"/>
    <x v="4"/>
    <x v="5"/>
    <n v="58.3"/>
    <n v="641.29999999999995"/>
    <x v="84"/>
    <x v="86"/>
    <x v="1"/>
    <x v="1"/>
    <x v="2"/>
    <x v="0"/>
    <x v="3"/>
    <n v="2"/>
    <x v="12"/>
    <x v="1"/>
  </r>
  <r>
    <x v="2317"/>
    <x v="6"/>
    <x v="44"/>
    <n v="152.6"/>
    <n v="3509.7999999999997"/>
    <x v="85"/>
    <x v="90"/>
    <x v="0"/>
    <x v="0"/>
    <x v="0"/>
    <x v="0"/>
    <x v="3"/>
    <n v="2"/>
    <x v="12"/>
    <x v="0"/>
  </r>
  <r>
    <x v="2318"/>
    <x v="8"/>
    <x v="1"/>
    <n v="26"/>
    <n v="52"/>
    <x v="85"/>
    <x v="87"/>
    <x v="0"/>
    <x v="0"/>
    <x v="1"/>
    <x v="0"/>
    <x v="3"/>
    <n v="0"/>
    <x v="12"/>
    <x v="0"/>
  </r>
  <r>
    <x v="2319"/>
    <x v="1"/>
    <x v="12"/>
    <n v="33.1"/>
    <n v="132.4"/>
    <x v="85"/>
    <x v="87"/>
    <x v="1"/>
    <x v="2"/>
    <x v="4"/>
    <x v="0"/>
    <x v="5"/>
    <n v="0"/>
    <x v="12"/>
    <x v="1"/>
  </r>
  <r>
    <x v="2320"/>
    <x v="18"/>
    <x v="0"/>
    <n v="51.4"/>
    <n v="51.4"/>
    <x v="85"/>
    <x v="90"/>
    <x v="2"/>
    <x v="1"/>
    <x v="1"/>
    <x v="0"/>
    <x v="5"/>
    <n v="2"/>
    <x v="12"/>
    <x v="2"/>
  </r>
  <r>
    <x v="2321"/>
    <x v="8"/>
    <x v="1"/>
    <n v="30.2"/>
    <n v="60.4"/>
    <x v="85"/>
    <x v="86"/>
    <x v="2"/>
    <x v="2"/>
    <x v="2"/>
    <x v="0"/>
    <x v="6"/>
    <n v="1"/>
    <x v="12"/>
    <x v="2"/>
  </r>
  <r>
    <x v="2322"/>
    <x v="2"/>
    <x v="13"/>
    <n v="97"/>
    <n v="582"/>
    <x v="85"/>
    <x v="88"/>
    <x v="2"/>
    <x v="0"/>
    <x v="2"/>
    <x v="0"/>
    <x v="7"/>
    <n v="4"/>
    <x v="12"/>
    <x v="2"/>
  </r>
  <r>
    <x v="2323"/>
    <x v="2"/>
    <x v="0"/>
    <n v="76.900000000000006"/>
    <n v="76.900000000000006"/>
    <x v="85"/>
    <x v="86"/>
    <x v="1"/>
    <x v="1"/>
    <x v="2"/>
    <x v="0"/>
    <x v="8"/>
    <n v="1"/>
    <x v="12"/>
    <x v="1"/>
  </r>
  <r>
    <x v="2324"/>
    <x v="7"/>
    <x v="13"/>
    <n v="36.1"/>
    <n v="216.60000000000002"/>
    <x v="85"/>
    <x v="88"/>
    <x v="2"/>
    <x v="0"/>
    <x v="0"/>
    <x v="0"/>
    <x v="8"/>
    <n v="4"/>
    <x v="12"/>
    <x v="2"/>
  </r>
  <r>
    <x v="2325"/>
    <x v="1"/>
    <x v="3"/>
    <n v="34.4"/>
    <n v="240.79999999999998"/>
    <x v="85"/>
    <x v="87"/>
    <x v="2"/>
    <x v="2"/>
    <x v="1"/>
    <x v="0"/>
    <x v="11"/>
    <n v="0"/>
    <x v="12"/>
    <x v="2"/>
  </r>
  <r>
    <x v="2326"/>
    <x v="1"/>
    <x v="31"/>
    <n v="53.4"/>
    <n v="1495.2"/>
    <x v="85"/>
    <x v="90"/>
    <x v="2"/>
    <x v="1"/>
    <x v="0"/>
    <x v="0"/>
    <x v="18"/>
    <n v="2"/>
    <x v="12"/>
    <x v="2"/>
  </r>
  <r>
    <x v="2327"/>
    <x v="2"/>
    <x v="0"/>
    <n v="77.599999999999994"/>
    <n v="77.599999999999994"/>
    <x v="85"/>
    <x v="86"/>
    <x v="2"/>
    <x v="0"/>
    <x v="1"/>
    <x v="0"/>
    <x v="19"/>
    <n v="1"/>
    <x v="12"/>
    <x v="2"/>
  </r>
  <r>
    <x v="2328"/>
    <x v="1"/>
    <x v="2"/>
    <n v="71.7"/>
    <n v="215.10000000000002"/>
    <x v="85"/>
    <x v="89"/>
    <x v="2"/>
    <x v="1"/>
    <x v="0"/>
    <x v="0"/>
    <x v="19"/>
    <n v="3"/>
    <x v="12"/>
    <x v="2"/>
  </r>
  <r>
    <x v="2329"/>
    <x v="3"/>
    <x v="2"/>
    <n v="80.599999999999994"/>
    <n v="241.79999999999998"/>
    <x v="85"/>
    <x v="86"/>
    <x v="1"/>
    <x v="4"/>
    <x v="1"/>
    <x v="0"/>
    <x v="19"/>
    <n v="1"/>
    <x v="12"/>
    <x v="1"/>
  </r>
  <r>
    <x v="2330"/>
    <x v="1"/>
    <x v="20"/>
    <n v="70"/>
    <n v="1050"/>
    <x v="85"/>
    <x v="90"/>
    <x v="1"/>
    <x v="0"/>
    <x v="0"/>
    <x v="0"/>
    <x v="20"/>
    <n v="2"/>
    <x v="12"/>
    <x v="1"/>
  </r>
  <r>
    <x v="2331"/>
    <x v="4"/>
    <x v="13"/>
    <n v="27.3"/>
    <n v="163.80000000000001"/>
    <x v="85"/>
    <x v="90"/>
    <x v="2"/>
    <x v="1"/>
    <x v="1"/>
    <x v="0"/>
    <x v="2"/>
    <n v="2"/>
    <x v="12"/>
    <x v="2"/>
  </r>
  <r>
    <x v="2332"/>
    <x v="8"/>
    <x v="21"/>
    <n v="37.6"/>
    <n v="526.4"/>
    <x v="85"/>
    <x v="90"/>
    <x v="1"/>
    <x v="1"/>
    <x v="0"/>
    <x v="0"/>
    <x v="3"/>
    <n v="2"/>
    <x v="12"/>
    <x v="1"/>
  </r>
  <r>
    <x v="2333"/>
    <x v="5"/>
    <x v="2"/>
    <n v="36.6"/>
    <n v="109.80000000000001"/>
    <x v="85"/>
    <x v="90"/>
    <x v="2"/>
    <x v="4"/>
    <x v="0"/>
    <x v="0"/>
    <x v="3"/>
    <n v="2"/>
    <x v="12"/>
    <x v="2"/>
  </r>
  <r>
    <x v="2334"/>
    <x v="13"/>
    <x v="0"/>
    <n v="55.2"/>
    <n v="55.2"/>
    <x v="85"/>
    <x v="90"/>
    <x v="1"/>
    <x v="3"/>
    <x v="0"/>
    <x v="0"/>
    <x v="3"/>
    <n v="2"/>
    <x v="12"/>
    <x v="1"/>
  </r>
  <r>
    <x v="2335"/>
    <x v="6"/>
    <x v="9"/>
    <n v="59.9"/>
    <n v="299.5"/>
    <x v="85"/>
    <x v="90"/>
    <x v="1"/>
    <x v="0"/>
    <x v="0"/>
    <x v="0"/>
    <x v="3"/>
    <n v="2"/>
    <x v="12"/>
    <x v="1"/>
  </r>
  <r>
    <x v="2336"/>
    <x v="6"/>
    <x v="0"/>
    <n v="44"/>
    <n v="44"/>
    <x v="85"/>
    <x v="86"/>
    <x v="2"/>
    <x v="2"/>
    <x v="2"/>
    <x v="0"/>
    <x v="3"/>
    <n v="1"/>
    <x v="12"/>
    <x v="2"/>
  </r>
  <r>
    <x v="2337"/>
    <x v="9"/>
    <x v="1"/>
    <n v="68.7"/>
    <n v="137.4"/>
    <x v="85"/>
    <x v="87"/>
    <x v="1"/>
    <x v="0"/>
    <x v="0"/>
    <x v="0"/>
    <x v="3"/>
    <n v="0"/>
    <x v="12"/>
    <x v="1"/>
  </r>
  <r>
    <x v="2338"/>
    <x v="5"/>
    <x v="1"/>
    <n v="61.6"/>
    <n v="123.2"/>
    <x v="85"/>
    <x v="88"/>
    <x v="1"/>
    <x v="3"/>
    <x v="1"/>
    <x v="0"/>
    <x v="3"/>
    <n v="4"/>
    <x v="12"/>
    <x v="1"/>
  </r>
  <r>
    <x v="2339"/>
    <x v="7"/>
    <x v="3"/>
    <n v="51.8"/>
    <n v="362.59999999999997"/>
    <x v="85"/>
    <x v="86"/>
    <x v="1"/>
    <x v="0"/>
    <x v="0"/>
    <x v="0"/>
    <x v="3"/>
    <n v="1"/>
    <x v="12"/>
    <x v="1"/>
  </r>
  <r>
    <x v="2340"/>
    <x v="8"/>
    <x v="7"/>
    <n v="46.2"/>
    <n v="462"/>
    <x v="85"/>
    <x v="90"/>
    <x v="1"/>
    <x v="1"/>
    <x v="2"/>
    <x v="0"/>
    <x v="3"/>
    <n v="2"/>
    <x v="12"/>
    <x v="1"/>
  </r>
  <r>
    <x v="2341"/>
    <x v="0"/>
    <x v="1"/>
    <n v="19.399999999999999"/>
    <n v="38.799999999999997"/>
    <x v="85"/>
    <x v="90"/>
    <x v="2"/>
    <x v="1"/>
    <x v="2"/>
    <x v="0"/>
    <x v="6"/>
    <n v="2"/>
    <x v="12"/>
    <x v="2"/>
  </r>
  <r>
    <x v="2342"/>
    <x v="11"/>
    <x v="2"/>
    <n v="52.1"/>
    <n v="156.30000000000001"/>
    <x v="85"/>
    <x v="89"/>
    <x v="1"/>
    <x v="3"/>
    <x v="3"/>
    <x v="0"/>
    <x v="6"/>
    <n v="3"/>
    <x v="12"/>
    <x v="1"/>
  </r>
  <r>
    <x v="2343"/>
    <x v="6"/>
    <x v="0"/>
    <n v="74.900000000000006"/>
    <n v="74.900000000000006"/>
    <x v="85"/>
    <x v="90"/>
    <x v="3"/>
    <x v="0"/>
    <x v="0"/>
    <x v="0"/>
    <x v="7"/>
    <n v="2"/>
    <x v="12"/>
    <x v="3"/>
  </r>
  <r>
    <x v="2344"/>
    <x v="9"/>
    <x v="3"/>
    <n v="49.6"/>
    <n v="347.2"/>
    <x v="85"/>
    <x v="89"/>
    <x v="2"/>
    <x v="4"/>
    <x v="0"/>
    <x v="0"/>
    <x v="8"/>
    <n v="3"/>
    <x v="12"/>
    <x v="2"/>
  </r>
  <r>
    <x v="2345"/>
    <x v="16"/>
    <x v="12"/>
    <n v="82.8"/>
    <n v="331.2"/>
    <x v="86"/>
    <x v="88"/>
    <x v="2"/>
    <x v="4"/>
    <x v="0"/>
    <x v="0"/>
    <x v="8"/>
    <n v="3"/>
    <x v="12"/>
    <x v="2"/>
  </r>
  <r>
    <x v="2346"/>
    <x v="2"/>
    <x v="0"/>
    <n v="97.7"/>
    <n v="97.7"/>
    <x v="86"/>
    <x v="90"/>
    <x v="2"/>
    <x v="1"/>
    <x v="0"/>
    <x v="0"/>
    <x v="8"/>
    <n v="1"/>
    <x v="12"/>
    <x v="2"/>
  </r>
  <r>
    <x v="2347"/>
    <x v="6"/>
    <x v="9"/>
    <n v="83.6"/>
    <n v="418"/>
    <x v="86"/>
    <x v="90"/>
    <x v="2"/>
    <x v="4"/>
    <x v="0"/>
    <x v="0"/>
    <x v="8"/>
    <n v="1"/>
    <x v="12"/>
    <x v="2"/>
  </r>
  <r>
    <x v="2348"/>
    <x v="8"/>
    <x v="9"/>
    <n v="23.5"/>
    <n v="117.5"/>
    <x v="86"/>
    <x v="84"/>
    <x v="3"/>
    <x v="0"/>
    <x v="0"/>
    <x v="0"/>
    <x v="8"/>
    <n v="4"/>
    <x v="12"/>
    <x v="3"/>
  </r>
  <r>
    <x v="2349"/>
    <x v="9"/>
    <x v="2"/>
    <n v="44.6"/>
    <n v="133.80000000000001"/>
    <x v="86"/>
    <x v="88"/>
    <x v="2"/>
    <x v="4"/>
    <x v="1"/>
    <x v="0"/>
    <x v="26"/>
    <n v="3"/>
    <x v="12"/>
    <x v="2"/>
  </r>
  <r>
    <x v="2350"/>
    <x v="0"/>
    <x v="2"/>
    <n v="20.100000000000001"/>
    <n v="60.300000000000004"/>
    <x v="86"/>
    <x v="89"/>
    <x v="2"/>
    <x v="3"/>
    <x v="4"/>
    <x v="0"/>
    <x v="11"/>
    <n v="2"/>
    <x v="12"/>
    <x v="2"/>
  </r>
  <r>
    <x v="2351"/>
    <x v="2"/>
    <x v="9"/>
    <n v="153.6"/>
    <n v="768"/>
    <x v="86"/>
    <x v="90"/>
    <x v="2"/>
    <x v="1"/>
    <x v="2"/>
    <x v="0"/>
    <x v="53"/>
    <n v="1"/>
    <x v="12"/>
    <x v="2"/>
  </r>
  <r>
    <x v="2352"/>
    <x v="1"/>
    <x v="1"/>
    <n v="71.8"/>
    <n v="143.6"/>
    <x v="86"/>
    <x v="84"/>
    <x v="2"/>
    <x v="1"/>
    <x v="0"/>
    <x v="0"/>
    <x v="1"/>
    <n v="4"/>
    <x v="12"/>
    <x v="2"/>
  </r>
  <r>
    <x v="2353"/>
    <x v="10"/>
    <x v="0"/>
    <n v="64.7"/>
    <n v="64.7"/>
    <x v="86"/>
    <x v="89"/>
    <x v="0"/>
    <x v="0"/>
    <x v="1"/>
    <x v="0"/>
    <x v="1"/>
    <n v="2"/>
    <x v="12"/>
    <x v="0"/>
  </r>
  <r>
    <x v="2354"/>
    <x v="9"/>
    <x v="8"/>
    <n v="60.4"/>
    <n v="483.2"/>
    <x v="86"/>
    <x v="89"/>
    <x v="2"/>
    <x v="3"/>
    <x v="2"/>
    <x v="0"/>
    <x v="2"/>
    <n v="2"/>
    <x v="12"/>
    <x v="2"/>
  </r>
  <r>
    <x v="2355"/>
    <x v="6"/>
    <x v="12"/>
    <n v="86"/>
    <n v="344"/>
    <x v="86"/>
    <x v="88"/>
    <x v="2"/>
    <x v="2"/>
    <x v="2"/>
    <x v="0"/>
    <x v="22"/>
    <n v="3"/>
    <x v="12"/>
    <x v="2"/>
  </r>
  <r>
    <x v="2356"/>
    <x v="12"/>
    <x v="1"/>
    <n v="42.1"/>
    <n v="84.2"/>
    <x v="86"/>
    <x v="90"/>
    <x v="2"/>
    <x v="4"/>
    <x v="1"/>
    <x v="0"/>
    <x v="34"/>
    <n v="1"/>
    <x v="12"/>
    <x v="2"/>
  </r>
  <r>
    <x v="2357"/>
    <x v="16"/>
    <x v="11"/>
    <n v="51.1"/>
    <n v="459.90000000000003"/>
    <x v="86"/>
    <x v="90"/>
    <x v="1"/>
    <x v="2"/>
    <x v="1"/>
    <x v="0"/>
    <x v="3"/>
    <n v="1"/>
    <x v="12"/>
    <x v="1"/>
  </r>
  <r>
    <x v="2358"/>
    <x v="9"/>
    <x v="12"/>
    <n v="73.8"/>
    <n v="295.2"/>
    <x v="86"/>
    <x v="90"/>
    <x v="1"/>
    <x v="4"/>
    <x v="0"/>
    <x v="0"/>
    <x v="3"/>
    <n v="1"/>
    <x v="12"/>
    <x v="1"/>
  </r>
  <r>
    <x v="2359"/>
    <x v="8"/>
    <x v="9"/>
    <n v="27"/>
    <n v="135"/>
    <x v="86"/>
    <x v="88"/>
    <x v="2"/>
    <x v="2"/>
    <x v="2"/>
    <x v="0"/>
    <x v="3"/>
    <n v="3"/>
    <x v="12"/>
    <x v="2"/>
  </r>
  <r>
    <x v="2360"/>
    <x v="8"/>
    <x v="13"/>
    <n v="60.1"/>
    <n v="360.6"/>
    <x v="86"/>
    <x v="90"/>
    <x v="1"/>
    <x v="3"/>
    <x v="0"/>
    <x v="0"/>
    <x v="3"/>
    <n v="1"/>
    <x v="12"/>
    <x v="1"/>
  </r>
  <r>
    <x v="2361"/>
    <x v="2"/>
    <x v="3"/>
    <n v="94.1"/>
    <n v="658.69999999999993"/>
    <x v="86"/>
    <x v="89"/>
    <x v="2"/>
    <x v="4"/>
    <x v="1"/>
    <x v="0"/>
    <x v="3"/>
    <n v="2"/>
    <x v="12"/>
    <x v="2"/>
  </r>
  <r>
    <x v="2362"/>
    <x v="2"/>
    <x v="1"/>
    <n v="124.1"/>
    <n v="248.2"/>
    <x v="86"/>
    <x v="86"/>
    <x v="2"/>
    <x v="2"/>
    <x v="3"/>
    <x v="0"/>
    <x v="43"/>
    <n v="0"/>
    <x v="12"/>
    <x v="2"/>
  </r>
  <r>
    <x v="2363"/>
    <x v="8"/>
    <x v="12"/>
    <n v="16.899999999999999"/>
    <n v="67.599999999999994"/>
    <x v="86"/>
    <x v="88"/>
    <x v="1"/>
    <x v="3"/>
    <x v="0"/>
    <x v="0"/>
    <x v="6"/>
    <n v="3"/>
    <x v="12"/>
    <x v="1"/>
  </r>
  <r>
    <x v="2364"/>
    <x v="1"/>
    <x v="0"/>
    <n v="36.9"/>
    <n v="36.9"/>
    <x v="86"/>
    <x v="90"/>
    <x v="1"/>
    <x v="0"/>
    <x v="0"/>
    <x v="0"/>
    <x v="6"/>
    <n v="1"/>
    <x v="12"/>
    <x v="1"/>
  </r>
  <r>
    <x v="2365"/>
    <x v="9"/>
    <x v="1"/>
    <n v="22.6"/>
    <n v="45.2"/>
    <x v="86"/>
    <x v="94"/>
    <x v="2"/>
    <x v="2"/>
    <x v="1"/>
    <x v="0"/>
    <x v="8"/>
    <n v="13"/>
    <x v="12"/>
    <x v="2"/>
  </r>
  <r>
    <x v="2366"/>
    <x v="7"/>
    <x v="12"/>
    <n v="35"/>
    <n v="140"/>
    <x v="86"/>
    <x v="92"/>
    <x v="1"/>
    <x v="3"/>
    <x v="1"/>
    <x v="0"/>
    <x v="8"/>
    <n v="5"/>
    <x v="12"/>
    <x v="1"/>
  </r>
  <r>
    <x v="2367"/>
    <x v="9"/>
    <x v="13"/>
    <n v="63.6"/>
    <n v="381.6"/>
    <x v="86"/>
    <x v="95"/>
    <x v="0"/>
    <x v="1"/>
    <x v="2"/>
    <x v="0"/>
    <x v="8"/>
    <n v="7"/>
    <x v="12"/>
    <x v="0"/>
  </r>
  <r>
    <x v="2368"/>
    <x v="15"/>
    <x v="12"/>
    <n v="78.599999999999994"/>
    <n v="314.39999999999998"/>
    <x v="86"/>
    <x v="90"/>
    <x v="1"/>
    <x v="4"/>
    <x v="1"/>
    <x v="0"/>
    <x v="8"/>
    <n v="1"/>
    <x v="12"/>
    <x v="1"/>
  </r>
  <r>
    <x v="2369"/>
    <x v="3"/>
    <x v="1"/>
    <n v="38.5"/>
    <n v="77"/>
    <x v="86"/>
    <x v="90"/>
    <x v="1"/>
    <x v="0"/>
    <x v="2"/>
    <x v="0"/>
    <x v="8"/>
    <n v="1"/>
    <x v="12"/>
    <x v="1"/>
  </r>
  <r>
    <x v="2370"/>
    <x v="8"/>
    <x v="5"/>
    <n v="71.5"/>
    <n v="786.5"/>
    <x v="86"/>
    <x v="90"/>
    <x v="2"/>
    <x v="1"/>
    <x v="4"/>
    <x v="0"/>
    <x v="8"/>
    <n v="1"/>
    <x v="12"/>
    <x v="2"/>
  </r>
  <r>
    <x v="2371"/>
    <x v="6"/>
    <x v="12"/>
    <n v="121.4"/>
    <n v="485.6"/>
    <x v="86"/>
    <x v="84"/>
    <x v="1"/>
    <x v="1"/>
    <x v="2"/>
    <x v="0"/>
    <x v="17"/>
    <n v="4"/>
    <x v="12"/>
    <x v="1"/>
  </r>
  <r>
    <x v="2372"/>
    <x v="11"/>
    <x v="0"/>
    <n v="40.200000000000003"/>
    <n v="40.200000000000003"/>
    <x v="86"/>
    <x v="88"/>
    <x v="2"/>
    <x v="0"/>
    <x v="2"/>
    <x v="0"/>
    <x v="11"/>
    <n v="3"/>
    <x v="12"/>
    <x v="2"/>
  </r>
  <r>
    <x v="2373"/>
    <x v="5"/>
    <x v="9"/>
    <n v="31.9"/>
    <n v="159.5"/>
    <x v="86"/>
    <x v="89"/>
    <x v="2"/>
    <x v="2"/>
    <x v="2"/>
    <x v="0"/>
    <x v="28"/>
    <n v="2"/>
    <x v="12"/>
    <x v="2"/>
  </r>
  <r>
    <x v="2374"/>
    <x v="14"/>
    <x v="9"/>
    <n v="15.8"/>
    <n v="79"/>
    <x v="87"/>
    <x v="89"/>
    <x v="1"/>
    <x v="3"/>
    <x v="2"/>
    <x v="0"/>
    <x v="21"/>
    <n v="1"/>
    <x v="12"/>
    <x v="1"/>
  </r>
  <r>
    <x v="2375"/>
    <x v="10"/>
    <x v="1"/>
    <n v="25.1"/>
    <n v="50.2"/>
    <x v="87"/>
    <x v="88"/>
    <x v="0"/>
    <x v="1"/>
    <x v="0"/>
    <x v="0"/>
    <x v="21"/>
    <n v="2"/>
    <x v="12"/>
    <x v="0"/>
  </r>
  <r>
    <x v="2376"/>
    <x v="1"/>
    <x v="44"/>
    <n v="38.1"/>
    <n v="876.30000000000007"/>
    <x v="87"/>
    <x v="89"/>
    <x v="2"/>
    <x v="4"/>
    <x v="0"/>
    <x v="0"/>
    <x v="1"/>
    <n v="1"/>
    <x v="12"/>
    <x v="2"/>
  </r>
  <r>
    <x v="2377"/>
    <x v="3"/>
    <x v="1"/>
    <n v="42.2"/>
    <n v="84.4"/>
    <x v="87"/>
    <x v="88"/>
    <x v="2"/>
    <x v="0"/>
    <x v="2"/>
    <x v="0"/>
    <x v="1"/>
    <n v="2"/>
    <x v="12"/>
    <x v="2"/>
  </r>
  <r>
    <x v="2378"/>
    <x v="0"/>
    <x v="7"/>
    <n v="12.3"/>
    <n v="123"/>
    <x v="87"/>
    <x v="89"/>
    <x v="2"/>
    <x v="4"/>
    <x v="0"/>
    <x v="0"/>
    <x v="2"/>
    <n v="1"/>
    <x v="12"/>
    <x v="2"/>
  </r>
  <r>
    <x v="2379"/>
    <x v="7"/>
    <x v="0"/>
    <n v="30.2"/>
    <n v="30.2"/>
    <x v="87"/>
    <x v="88"/>
    <x v="2"/>
    <x v="1"/>
    <x v="2"/>
    <x v="0"/>
    <x v="34"/>
    <n v="2"/>
    <x v="12"/>
    <x v="2"/>
  </r>
  <r>
    <x v="2380"/>
    <x v="5"/>
    <x v="2"/>
    <n v="25.3"/>
    <n v="75.900000000000006"/>
    <x v="87"/>
    <x v="84"/>
    <x v="2"/>
    <x v="2"/>
    <x v="0"/>
    <x v="0"/>
    <x v="3"/>
    <n v="3"/>
    <x v="12"/>
    <x v="2"/>
  </r>
  <r>
    <x v="2381"/>
    <x v="8"/>
    <x v="9"/>
    <n v="29.7"/>
    <n v="148.5"/>
    <x v="87"/>
    <x v="88"/>
    <x v="1"/>
    <x v="3"/>
    <x v="0"/>
    <x v="0"/>
    <x v="3"/>
    <n v="2"/>
    <x v="12"/>
    <x v="1"/>
  </r>
  <r>
    <x v="2382"/>
    <x v="9"/>
    <x v="8"/>
    <n v="32.9"/>
    <n v="263.2"/>
    <x v="87"/>
    <x v="89"/>
    <x v="0"/>
    <x v="3"/>
    <x v="2"/>
    <x v="0"/>
    <x v="3"/>
    <n v="1"/>
    <x v="12"/>
    <x v="0"/>
  </r>
  <r>
    <x v="2383"/>
    <x v="10"/>
    <x v="1"/>
    <n v="43.6"/>
    <n v="87.2"/>
    <x v="87"/>
    <x v="89"/>
    <x v="1"/>
    <x v="1"/>
    <x v="2"/>
    <x v="0"/>
    <x v="3"/>
    <n v="1"/>
    <x v="12"/>
    <x v="1"/>
  </r>
  <r>
    <x v="2384"/>
    <x v="15"/>
    <x v="12"/>
    <n v="78.400000000000006"/>
    <n v="313.60000000000002"/>
    <x v="87"/>
    <x v="89"/>
    <x v="1"/>
    <x v="2"/>
    <x v="0"/>
    <x v="0"/>
    <x v="3"/>
    <n v="1"/>
    <x v="12"/>
    <x v="1"/>
  </r>
  <r>
    <x v="2385"/>
    <x v="6"/>
    <x v="1"/>
    <n v="56.5"/>
    <n v="113"/>
    <x v="87"/>
    <x v="92"/>
    <x v="1"/>
    <x v="1"/>
    <x v="1"/>
    <x v="0"/>
    <x v="3"/>
    <n v="4"/>
    <x v="12"/>
    <x v="1"/>
  </r>
  <r>
    <x v="2386"/>
    <x v="16"/>
    <x v="0"/>
    <n v="36.700000000000003"/>
    <n v="36.700000000000003"/>
    <x v="87"/>
    <x v="89"/>
    <x v="2"/>
    <x v="0"/>
    <x v="2"/>
    <x v="0"/>
    <x v="3"/>
    <n v="1"/>
    <x v="12"/>
    <x v="2"/>
  </r>
  <r>
    <x v="2387"/>
    <x v="2"/>
    <x v="12"/>
    <n v="103.6"/>
    <n v="414.4"/>
    <x v="87"/>
    <x v="91"/>
    <x v="1"/>
    <x v="4"/>
    <x v="2"/>
    <x v="0"/>
    <x v="3"/>
    <n v="11"/>
    <x v="12"/>
    <x v="1"/>
  </r>
  <r>
    <x v="2388"/>
    <x v="8"/>
    <x v="13"/>
    <n v="16.2"/>
    <n v="97.199999999999989"/>
    <x v="87"/>
    <x v="92"/>
    <x v="1"/>
    <x v="1"/>
    <x v="2"/>
    <x v="0"/>
    <x v="6"/>
    <n v="4"/>
    <x v="12"/>
    <x v="1"/>
  </r>
  <r>
    <x v="2389"/>
    <x v="8"/>
    <x v="1"/>
    <n v="20.2"/>
    <n v="40.4"/>
    <x v="87"/>
    <x v="89"/>
    <x v="2"/>
    <x v="0"/>
    <x v="0"/>
    <x v="0"/>
    <x v="6"/>
    <n v="1"/>
    <x v="12"/>
    <x v="2"/>
  </r>
  <r>
    <x v="2390"/>
    <x v="11"/>
    <x v="1"/>
    <n v="26.9"/>
    <n v="53.8"/>
    <x v="87"/>
    <x v="88"/>
    <x v="2"/>
    <x v="2"/>
    <x v="0"/>
    <x v="0"/>
    <x v="6"/>
    <n v="2"/>
    <x v="12"/>
    <x v="2"/>
  </r>
  <r>
    <x v="2391"/>
    <x v="1"/>
    <x v="1"/>
    <n v="82.4"/>
    <n v="164.8"/>
    <x v="87"/>
    <x v="84"/>
    <x v="0"/>
    <x v="0"/>
    <x v="0"/>
    <x v="0"/>
    <x v="7"/>
    <n v="3"/>
    <x v="12"/>
    <x v="0"/>
  </r>
  <r>
    <x v="2392"/>
    <x v="2"/>
    <x v="1"/>
    <n v="117.8"/>
    <n v="235.6"/>
    <x v="87"/>
    <x v="88"/>
    <x v="1"/>
    <x v="1"/>
    <x v="2"/>
    <x v="0"/>
    <x v="8"/>
    <n v="2"/>
    <x v="12"/>
    <x v="1"/>
  </r>
  <r>
    <x v="2393"/>
    <x v="11"/>
    <x v="12"/>
    <n v="36.700000000000003"/>
    <n v="146.80000000000001"/>
    <x v="87"/>
    <x v="89"/>
    <x v="1"/>
    <x v="1"/>
    <x v="0"/>
    <x v="0"/>
    <x v="8"/>
    <n v="1"/>
    <x v="12"/>
    <x v="1"/>
  </r>
  <r>
    <x v="2394"/>
    <x v="17"/>
    <x v="2"/>
    <n v="46.8"/>
    <n v="140.39999999999998"/>
    <x v="87"/>
    <x v="89"/>
    <x v="1"/>
    <x v="4"/>
    <x v="2"/>
    <x v="0"/>
    <x v="10"/>
    <n v="1"/>
    <x v="12"/>
    <x v="1"/>
  </r>
  <r>
    <x v="2395"/>
    <x v="3"/>
    <x v="0"/>
    <n v="61.4"/>
    <n v="61.4"/>
    <x v="87"/>
    <x v="89"/>
    <x v="1"/>
    <x v="1"/>
    <x v="0"/>
    <x v="0"/>
    <x v="10"/>
    <n v="1"/>
    <x v="12"/>
    <x v="1"/>
  </r>
  <r>
    <x v="2396"/>
    <x v="15"/>
    <x v="1"/>
    <n v="22.9"/>
    <n v="45.8"/>
    <x v="87"/>
    <x v="89"/>
    <x v="1"/>
    <x v="0"/>
    <x v="0"/>
    <x v="0"/>
    <x v="11"/>
    <n v="1"/>
    <x v="12"/>
    <x v="1"/>
  </r>
  <r>
    <x v="2397"/>
    <x v="10"/>
    <x v="1"/>
    <n v="22.1"/>
    <n v="44.2"/>
    <x v="87"/>
    <x v="89"/>
    <x v="2"/>
    <x v="4"/>
    <x v="0"/>
    <x v="0"/>
    <x v="11"/>
    <n v="1"/>
    <x v="12"/>
    <x v="2"/>
  </r>
  <r>
    <x v="2398"/>
    <x v="12"/>
    <x v="1"/>
    <n v="31"/>
    <n v="62"/>
    <x v="87"/>
    <x v="88"/>
    <x v="2"/>
    <x v="2"/>
    <x v="0"/>
    <x v="0"/>
    <x v="18"/>
    <n v="2"/>
    <x v="12"/>
    <x v="2"/>
  </r>
  <r>
    <x v="2399"/>
    <x v="18"/>
    <x v="1"/>
    <n v="84.2"/>
    <n v="168.4"/>
    <x v="87"/>
    <x v="88"/>
    <x v="1"/>
    <x v="2"/>
    <x v="2"/>
    <x v="0"/>
    <x v="13"/>
    <n v="2"/>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241C4-DDC6-461C-AC91-9C34C69E3B0D}" name="PivotRating"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3:G168" firstHeaderRow="1" firstDataRow="2" firstDataCol="1"/>
  <pivotFields count="20">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0"/>
        <item x="1"/>
        <item x="3"/>
        <item x="2"/>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Fields count="1">
    <field x="9"/>
  </colFields>
  <colItems count="6">
    <i>
      <x/>
    </i>
    <i>
      <x v="1"/>
    </i>
    <i>
      <x v="2"/>
    </i>
    <i>
      <x v="3"/>
    </i>
    <i>
      <x v="4"/>
    </i>
    <i t="grand">
      <x/>
    </i>
  </colItems>
  <dataFields count="1">
    <dataField name="Sum of Quantity" fld="2" baseField="0" baseItem="0"/>
  </dataFields>
  <chartFormats count="10">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5" format="13" series="1">
      <pivotArea type="data" outline="0" fieldPosition="0">
        <references count="2">
          <reference field="4294967294" count="1" selected="0">
            <x v="0"/>
          </reference>
          <reference field="9" count="1" selected="0">
            <x v="0"/>
          </reference>
        </references>
      </pivotArea>
    </chartFormat>
    <chartFormat chart="5" format="14" series="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2">
          <reference field="4294967294" count="1" selected="0">
            <x v="0"/>
          </reference>
          <reference field="9" count="1" selected="0">
            <x v="3"/>
          </reference>
        </references>
      </pivotArea>
    </chartFormat>
    <chartFormat chart="5"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0826E-1DDB-41D3-96C9-D7D77CBBA13C}" name="PivotBar"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0:B158" firstHeaderRow="1" firstDataRow="1" firstDataCol="1"/>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pivotField showAll="0">
      <items count="5">
        <item x="0"/>
        <item x="1"/>
        <item x="3"/>
        <item x="2"/>
        <item t="default"/>
      </items>
    </pivotField>
    <pivotField axis="axisRow" showAll="0" defaultSubtotal="0">
      <items count="7">
        <item x="0"/>
        <item x="1"/>
        <item x="2"/>
        <item x="3"/>
        <item x="4"/>
        <item n="6 to 10" x="5"/>
        <item n="More than 10" x="6"/>
      </items>
    </pivotField>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27CB1-DB2B-4802-8719-895D9F1B439E}"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3:F200" firstHeaderRow="1" firstDataRow="2"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0"/>
        <item x="1"/>
        <item x="3"/>
        <item x="2"/>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Quantity" fld="2" showDataAs="percentOfTotal"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074447-DA0C-4C07-8294-F6CBE798B0A1}" name="PivotMap"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y">
  <location ref="A65:C124" firstHeaderRow="0"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showAll="0"/>
    <pivotField showAll="0"/>
    <pivotField axis="axisRow"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3"/>
        <item x="2"/>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9">
    <i>
      <x v="18"/>
    </i>
    <i>
      <x v="36"/>
    </i>
    <i>
      <x v="42"/>
    </i>
    <i>
      <x v="33"/>
    </i>
    <i>
      <x/>
    </i>
    <i>
      <x v="40"/>
    </i>
    <i>
      <x v="35"/>
    </i>
    <i>
      <x v="6"/>
    </i>
    <i>
      <x v="37"/>
    </i>
    <i>
      <x v="48"/>
    </i>
    <i>
      <x v="9"/>
    </i>
    <i>
      <x v="14"/>
    </i>
    <i>
      <x v="49"/>
    </i>
    <i>
      <x v="55"/>
    </i>
    <i>
      <x v="32"/>
    </i>
    <i>
      <x v="29"/>
    </i>
    <i>
      <x v="30"/>
    </i>
    <i>
      <x v="38"/>
    </i>
    <i>
      <x v="41"/>
    </i>
    <i>
      <x v="53"/>
    </i>
    <i>
      <x v="27"/>
    </i>
    <i>
      <x v="23"/>
    </i>
    <i>
      <x v="12"/>
    </i>
    <i>
      <x v="44"/>
    </i>
    <i>
      <x v="47"/>
    </i>
    <i>
      <x v="11"/>
    </i>
    <i>
      <x v="19"/>
    </i>
    <i>
      <x v="43"/>
    </i>
    <i>
      <x v="20"/>
    </i>
    <i>
      <x v="15"/>
    </i>
    <i>
      <x v="3"/>
    </i>
    <i>
      <x v="8"/>
    </i>
    <i>
      <x v="26"/>
    </i>
    <i>
      <x v="16"/>
    </i>
    <i>
      <x v="54"/>
    </i>
    <i>
      <x v="28"/>
    </i>
    <i>
      <x v="34"/>
    </i>
    <i>
      <x v="50"/>
    </i>
    <i>
      <x v="56"/>
    </i>
    <i>
      <x v="39"/>
    </i>
    <i>
      <x v="7"/>
    </i>
    <i>
      <x v="4"/>
    </i>
    <i>
      <x v="22"/>
    </i>
    <i>
      <x v="2"/>
    </i>
    <i>
      <x v="10"/>
    </i>
    <i>
      <x v="13"/>
    </i>
    <i>
      <x v="46"/>
    </i>
    <i>
      <x v="21"/>
    </i>
    <i>
      <x v="51"/>
    </i>
    <i>
      <x v="31"/>
    </i>
    <i>
      <x v="52"/>
    </i>
    <i>
      <x v="25"/>
    </i>
    <i>
      <x v="5"/>
    </i>
    <i>
      <x v="57"/>
    </i>
    <i>
      <x v="24"/>
    </i>
    <i>
      <x v="45"/>
    </i>
    <i>
      <x v="17"/>
    </i>
    <i>
      <x v="1"/>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D61E27-1FC7-449C-91CA-9582C10CD4AE}" name="PivotLin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C23" firstHeaderRow="0"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0"/>
        <item x="1"/>
        <item x="3"/>
        <item x="2"/>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1"/>
    <dataField name="Sum of Amount" fld="4" baseField="13" baseItem="0" numFmtId="164"/>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12605D-F8D3-4727-99EE-9AA45331BAC5}"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8:N43" firstHeaderRow="1"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0"/>
        <item x="1"/>
        <item x="3"/>
        <item x="2"/>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B81E30-7B12-4A44-B4CC-BA083ADE9085}" name="PivotShip"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0:B144" firstHeaderRow="1" firstDataRow="1" firstDataCol="1"/>
  <pivotFields count="20">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0"/>
        <item x="1"/>
        <item x="3"/>
        <item x="2"/>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Count of TX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8D1DD3-0C51-43F9-B2B6-65859FFEE0A3}" name="Pivot"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1"/>
    <dataField name="Sum of Quantity" fld="2" baseField="0" baseItem="1"/>
    <dataField name="Sum of Amount" fld="4" baseField="0" baseItem="1"/>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56601B-EB38-400F-8989-34D38AF6B67E}" name="PivotPopular"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F60" firstHeaderRow="1" firstDataRow="2" firstDataCol="1"/>
  <pivotFields count="20">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pivotField axis="axisCol" showAll="0">
      <items count="5">
        <item x="0"/>
        <item x="1"/>
        <item x="3"/>
        <item x="2"/>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37FD655-D26D-41D6-BFF6-BDB1CA3FC7CC}" sourceName="Order Mode">
  <pivotTables>
    <pivotTable tabId="5" name="PivotRating"/>
    <pivotTable tabId="5" name="PivotBar"/>
    <pivotTable tabId="5" name="PivotLine"/>
    <pivotTable tabId="5" name="PivotMap"/>
    <pivotTable tabId="5" name="PivotPopular"/>
    <pivotTable tabId="5" name="PivotShip"/>
    <pivotTable tabId="5" name="PivotTable4"/>
    <pivotTable tabId="5" name="PivotTable1"/>
  </pivotTables>
  <data>
    <tabular pivotCacheId="54810550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990DB88-741D-4175-BE41-A856725B8C11}" sourceName="Gender Value">
  <pivotTables>
    <pivotTable tabId="5" name="PivotRating"/>
    <pivotTable tabId="5" name="PivotBar"/>
    <pivotTable tabId="5" name="PivotLine"/>
    <pivotTable tabId="5" name="PivotMap"/>
    <pivotTable tabId="5" name="PivotPopular"/>
    <pivotTable tabId="5" name="PivotShip"/>
    <pivotTable tabId="5" name="PivotTable1"/>
    <pivotTable tabId="5" name="PivotTable4"/>
  </pivotTables>
  <data>
    <tabular pivotCacheId="54810550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A2AAA49-88AB-4E61-876F-6598CD1E804E}" cache="Slicer_Order_Mode" caption="Order Mode" rowHeight="365760"/>
  <slicer name="Gender Value" xr10:uid="{4607F0EA-6EE5-4086-AA9D-1FD8DD549AD0}" cache="Slicer_Gender_Value" caption="Gender Value"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CDCC4BD2-EFFF-4DA7-97A9-61A2624B0189}" cache="Slicer_Order_Mode" caption="Order Mode" rowHeight="365760"/>
  <slicer name="Gender Value 1" xr10:uid="{8B946FD6-EAEF-496E-9B45-15CAAF9B7C32}" cache="Slicer_Gender_Value" caption="Gender Value"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_xlfn.IFS(orders[[#This Row],[Customer Gender]]="M", "MALE",orders[[#This Row],[Customer Gender]]="", "FEMALE",orders[[#This Row],[Customer Gender]]="O", "OTHERS",TRUE,"UNKNOWN")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7F89-4C0A-4FDD-95BF-CA4AC8701A58}">
  <dimension ref="A2:N200"/>
  <sheetViews>
    <sheetView workbookViewId="0">
      <selection activeCell="G4" sqref="G4"/>
    </sheetView>
  </sheetViews>
  <sheetFormatPr defaultRowHeight="14.4" x14ac:dyDescent="0.3"/>
  <cols>
    <col min="1" max="1" width="14.21875" bestFit="1" customWidth="1"/>
    <col min="2" max="2" width="15.5546875" bestFit="1" customWidth="1"/>
    <col min="3" max="3" width="6.109375" bestFit="1" customWidth="1"/>
    <col min="4" max="4" width="7.77734375" bestFit="1" customWidth="1"/>
    <col min="5" max="5" width="10.33203125" bestFit="1" customWidth="1"/>
    <col min="6" max="7" width="10.5546875" bestFit="1" customWidth="1"/>
    <col min="8" max="8" width="15.77734375" customWidth="1"/>
    <col min="9" max="12" width="11.21875" customWidth="1"/>
    <col min="13" max="13" width="12.44140625" bestFit="1" customWidth="1"/>
    <col min="14" max="14" width="14.21875" bestFit="1" customWidth="1"/>
    <col min="15" max="32" width="9" bestFit="1" customWidth="1"/>
    <col min="33" max="41" width="8.44140625" bestFit="1" customWidth="1"/>
    <col min="42" max="60" width="9.44140625" bestFit="1" customWidth="1"/>
    <col min="61" max="69" width="8.44140625" bestFit="1" customWidth="1"/>
    <col min="70" max="89" width="9.44140625" bestFit="1" customWidth="1"/>
    <col min="90" max="90" width="10.5546875" bestFit="1" customWidth="1"/>
    <col min="91" max="96" width="15.5546875" bestFit="1" customWidth="1"/>
    <col min="97" max="97" width="10.5546875" bestFit="1" customWidth="1"/>
  </cols>
  <sheetData>
    <row r="2" spans="1:11" x14ac:dyDescent="0.3">
      <c r="G2" t="s">
        <v>2526</v>
      </c>
    </row>
    <row r="3" spans="1:11" x14ac:dyDescent="0.3">
      <c r="A3" t="s">
        <v>2521</v>
      </c>
      <c r="B3" t="s">
        <v>2522</v>
      </c>
      <c r="C3" t="s">
        <v>2523</v>
      </c>
      <c r="D3" t="s">
        <v>2524</v>
      </c>
      <c r="E3" t="s">
        <v>2525</v>
      </c>
      <c r="G3" t="s">
        <v>2518</v>
      </c>
      <c r="H3" t="s">
        <v>2</v>
      </c>
      <c r="I3" t="s">
        <v>4</v>
      </c>
      <c r="J3" t="s">
        <v>2507</v>
      </c>
      <c r="K3" t="s">
        <v>2508</v>
      </c>
    </row>
    <row r="4" spans="1:11" x14ac:dyDescent="0.3">
      <c r="A4">
        <v>2400</v>
      </c>
      <c r="B4">
        <v>11997</v>
      </c>
      <c r="C4">
        <v>649019.80000000144</v>
      </c>
      <c r="D4">
        <v>3.9620833333333332</v>
      </c>
      <c r="E4">
        <v>2.3424999999999998</v>
      </c>
      <c r="G4" t="str">
        <f>TEXT(A4,"#,##")</f>
        <v>2,400</v>
      </c>
      <c r="H4" t="str">
        <f>TEXT(B4,"#,##")</f>
        <v>11,997</v>
      </c>
      <c r="I4" t="str">
        <f>TEXT(C4,"$#,##,.0k")</f>
        <v>$649.0k</v>
      </c>
      <c r="J4" t="str">
        <f>TEXT(D4,"0.0")</f>
        <v>4.0</v>
      </c>
      <c r="K4" t="str">
        <f>TEXT(E4,"0.0")</f>
        <v>2.3</v>
      </c>
    </row>
    <row r="7" spans="1:11" x14ac:dyDescent="0.3">
      <c r="A7" t="s">
        <v>2527</v>
      </c>
    </row>
    <row r="9" spans="1:11" x14ac:dyDescent="0.3">
      <c r="A9" s="5" t="s">
        <v>2519</v>
      </c>
      <c r="B9" t="s">
        <v>2522</v>
      </c>
      <c r="C9" t="s">
        <v>2523</v>
      </c>
    </row>
    <row r="10" spans="1:11" x14ac:dyDescent="0.3">
      <c r="A10" s="6">
        <v>1</v>
      </c>
      <c r="B10">
        <v>546</v>
      </c>
      <c r="C10" s="7">
        <v>32413.300000000003</v>
      </c>
    </row>
    <row r="11" spans="1:11" x14ac:dyDescent="0.3">
      <c r="A11" s="6">
        <v>2</v>
      </c>
      <c r="B11">
        <v>905</v>
      </c>
      <c r="C11" s="7">
        <v>49562.999999999993</v>
      </c>
    </row>
    <row r="12" spans="1:11" x14ac:dyDescent="0.3">
      <c r="A12" s="6">
        <v>3</v>
      </c>
      <c r="B12">
        <v>796</v>
      </c>
      <c r="C12" s="7">
        <v>41700.400000000016</v>
      </c>
    </row>
    <row r="13" spans="1:11" x14ac:dyDescent="0.3">
      <c r="A13" s="6">
        <v>4</v>
      </c>
      <c r="B13">
        <v>913</v>
      </c>
      <c r="C13" s="7">
        <v>46782.599999999984</v>
      </c>
    </row>
    <row r="14" spans="1:11" x14ac:dyDescent="0.3">
      <c r="A14" s="6">
        <v>5</v>
      </c>
      <c r="B14">
        <v>844</v>
      </c>
      <c r="C14" s="7">
        <v>42676.100000000006</v>
      </c>
    </row>
    <row r="15" spans="1:11" x14ac:dyDescent="0.3">
      <c r="A15" s="6">
        <v>6</v>
      </c>
      <c r="B15">
        <v>1202</v>
      </c>
      <c r="C15" s="7">
        <v>62910.7</v>
      </c>
    </row>
    <row r="16" spans="1:11" x14ac:dyDescent="0.3">
      <c r="A16" s="6">
        <v>7</v>
      </c>
      <c r="B16">
        <v>935</v>
      </c>
      <c r="C16" s="7">
        <v>50332.200000000004</v>
      </c>
    </row>
    <row r="17" spans="1:12" x14ac:dyDescent="0.3">
      <c r="A17" s="6">
        <v>8</v>
      </c>
      <c r="B17">
        <v>1128</v>
      </c>
      <c r="C17" s="7">
        <v>58760.599999999977</v>
      </c>
    </row>
    <row r="18" spans="1:12" x14ac:dyDescent="0.3">
      <c r="A18" s="6">
        <v>9</v>
      </c>
      <c r="B18">
        <v>1007</v>
      </c>
      <c r="C18" s="7">
        <v>52017.299999999996</v>
      </c>
    </row>
    <row r="19" spans="1:12" x14ac:dyDescent="0.3">
      <c r="A19" s="6">
        <v>10</v>
      </c>
      <c r="B19">
        <v>1128</v>
      </c>
      <c r="C19" s="7">
        <v>64915.700000000033</v>
      </c>
    </row>
    <row r="20" spans="1:12" x14ac:dyDescent="0.3">
      <c r="A20" s="6">
        <v>11</v>
      </c>
      <c r="B20">
        <v>861</v>
      </c>
      <c r="C20" s="7">
        <v>45943.80000000001</v>
      </c>
    </row>
    <row r="21" spans="1:12" x14ac:dyDescent="0.3">
      <c r="A21" s="6">
        <v>12</v>
      </c>
      <c r="B21">
        <v>944</v>
      </c>
      <c r="C21" s="7">
        <v>55077.900000000031</v>
      </c>
    </row>
    <row r="22" spans="1:12" x14ac:dyDescent="0.3">
      <c r="A22" s="6">
        <v>13</v>
      </c>
      <c r="B22">
        <v>788</v>
      </c>
      <c r="C22" s="7">
        <v>45926.19999999999</v>
      </c>
    </row>
    <row r="23" spans="1:12" x14ac:dyDescent="0.3">
      <c r="A23" s="6" t="s">
        <v>2520</v>
      </c>
      <c r="B23">
        <v>11997</v>
      </c>
      <c r="C23" s="7">
        <v>649019.79999999993</v>
      </c>
    </row>
    <row r="27" spans="1:12" ht="15" thickBot="1" x14ac:dyDescent="0.35"/>
    <row r="28" spans="1:12" ht="27" customHeight="1" thickBot="1" x14ac:dyDescent="0.35">
      <c r="H28" s="10"/>
      <c r="I28" s="12"/>
      <c r="J28" s="12"/>
      <c r="K28" s="12"/>
      <c r="L28" s="12"/>
    </row>
    <row r="29" spans="1:12" ht="27" customHeight="1" thickBot="1" x14ac:dyDescent="0.35">
      <c r="H29" s="11"/>
      <c r="I29" s="13"/>
      <c r="J29" s="13"/>
      <c r="K29" s="13"/>
      <c r="L29" s="13"/>
    </row>
    <row r="30" spans="1:12" ht="27" customHeight="1" thickBot="1" x14ac:dyDescent="0.35">
      <c r="H30" s="11"/>
      <c r="I30" s="13"/>
      <c r="J30" s="13"/>
      <c r="K30" s="13"/>
      <c r="L30" s="13"/>
    </row>
    <row r="31" spans="1:12" ht="27" customHeight="1" thickBot="1" x14ac:dyDescent="0.35">
      <c r="H31" s="11"/>
      <c r="I31" s="13"/>
      <c r="J31" s="13"/>
      <c r="K31" s="13"/>
      <c r="L31" s="13"/>
    </row>
    <row r="32" spans="1:12" ht="27" customHeight="1" thickBot="1" x14ac:dyDescent="0.35">
      <c r="H32" s="11"/>
      <c r="I32" s="13"/>
      <c r="J32" s="13"/>
      <c r="K32" s="13"/>
      <c r="L32" s="13"/>
    </row>
    <row r="33" spans="1:14" ht="27" customHeight="1" thickBot="1" x14ac:dyDescent="0.35">
      <c r="H33" s="11"/>
      <c r="I33" s="13"/>
      <c r="J33" s="13"/>
      <c r="K33" s="13"/>
      <c r="L33" s="13"/>
    </row>
    <row r="38" spans="1:14" x14ac:dyDescent="0.3">
      <c r="A38" s="5" t="s">
        <v>2522</v>
      </c>
      <c r="B38" s="5" t="s">
        <v>2528</v>
      </c>
      <c r="M38" s="5" t="s">
        <v>2519</v>
      </c>
      <c r="N38" t="s">
        <v>2522</v>
      </c>
    </row>
    <row r="39" spans="1:14" x14ac:dyDescent="0.3">
      <c r="A39" s="5" t="s">
        <v>2519</v>
      </c>
      <c r="B39" t="s">
        <v>2529</v>
      </c>
      <c r="C39" t="s">
        <v>2530</v>
      </c>
      <c r="D39" t="s">
        <v>2531</v>
      </c>
      <c r="E39" t="s">
        <v>2532</v>
      </c>
      <c r="F39" t="s">
        <v>2520</v>
      </c>
      <c r="M39" s="6" t="s">
        <v>2529</v>
      </c>
      <c r="N39">
        <v>736</v>
      </c>
    </row>
    <row r="40" spans="1:14" x14ac:dyDescent="0.3">
      <c r="A40" s="6" t="s">
        <v>44</v>
      </c>
      <c r="B40">
        <v>98</v>
      </c>
      <c r="C40">
        <v>713</v>
      </c>
      <c r="D40">
        <v>90</v>
      </c>
      <c r="E40">
        <v>744</v>
      </c>
      <c r="F40">
        <v>1645</v>
      </c>
      <c r="M40" s="6" t="s">
        <v>2530</v>
      </c>
      <c r="N40">
        <v>4672</v>
      </c>
    </row>
    <row r="41" spans="1:14" x14ac:dyDescent="0.3">
      <c r="A41" s="6" t="s">
        <v>39</v>
      </c>
      <c r="B41">
        <v>214</v>
      </c>
      <c r="C41">
        <v>598</v>
      </c>
      <c r="D41">
        <v>18</v>
      </c>
      <c r="E41">
        <v>716</v>
      </c>
      <c r="F41">
        <v>1546</v>
      </c>
      <c r="M41" s="6" t="s">
        <v>2531</v>
      </c>
      <c r="N41">
        <v>317</v>
      </c>
    </row>
    <row r="42" spans="1:14" x14ac:dyDescent="0.3">
      <c r="A42" s="6" t="s">
        <v>26</v>
      </c>
      <c r="B42">
        <v>137</v>
      </c>
      <c r="C42">
        <v>393</v>
      </c>
      <c r="D42">
        <v>29</v>
      </c>
      <c r="E42">
        <v>627</v>
      </c>
      <c r="F42">
        <v>1186</v>
      </c>
      <c r="M42" s="6" t="s">
        <v>2532</v>
      </c>
      <c r="N42">
        <v>6272</v>
      </c>
    </row>
    <row r="43" spans="1:14" x14ac:dyDescent="0.3">
      <c r="A43" s="6" t="s">
        <v>22</v>
      </c>
      <c r="B43">
        <v>16</v>
      </c>
      <c r="C43">
        <v>306</v>
      </c>
      <c r="D43">
        <v>22</v>
      </c>
      <c r="E43">
        <v>568</v>
      </c>
      <c r="F43">
        <v>912</v>
      </c>
      <c r="M43" s="6" t="s">
        <v>2520</v>
      </c>
      <c r="N43">
        <v>11997</v>
      </c>
    </row>
    <row r="44" spans="1:14" x14ac:dyDescent="0.3">
      <c r="A44" s="6" t="s">
        <v>54</v>
      </c>
      <c r="B44">
        <v>22</v>
      </c>
      <c r="C44">
        <v>295</v>
      </c>
      <c r="D44">
        <v>8</v>
      </c>
      <c r="E44">
        <v>482</v>
      </c>
      <c r="F44">
        <v>807</v>
      </c>
    </row>
    <row r="45" spans="1:14" x14ac:dyDescent="0.3">
      <c r="A45" s="6" t="s">
        <v>16</v>
      </c>
      <c r="B45">
        <v>24</v>
      </c>
      <c r="C45">
        <v>293</v>
      </c>
      <c r="E45">
        <v>428</v>
      </c>
      <c r="F45">
        <v>745</v>
      </c>
    </row>
    <row r="46" spans="1:14" x14ac:dyDescent="0.3">
      <c r="A46" s="6" t="s">
        <v>46</v>
      </c>
      <c r="B46">
        <v>39</v>
      </c>
      <c r="C46">
        <v>202</v>
      </c>
      <c r="D46">
        <v>14</v>
      </c>
      <c r="E46">
        <v>445</v>
      </c>
      <c r="F46">
        <v>700</v>
      </c>
    </row>
    <row r="47" spans="1:14" x14ac:dyDescent="0.3">
      <c r="A47" s="6" t="s">
        <v>32</v>
      </c>
      <c r="B47">
        <v>15</v>
      </c>
      <c r="C47">
        <v>187</v>
      </c>
      <c r="D47">
        <v>14</v>
      </c>
      <c r="E47">
        <v>431</v>
      </c>
      <c r="F47">
        <v>647</v>
      </c>
    </row>
    <row r="48" spans="1:14" x14ac:dyDescent="0.3">
      <c r="A48" s="6" t="s">
        <v>42</v>
      </c>
      <c r="B48">
        <v>9</v>
      </c>
      <c r="C48">
        <v>318</v>
      </c>
      <c r="D48">
        <v>15</v>
      </c>
      <c r="E48">
        <v>264</v>
      </c>
      <c r="F48">
        <v>606</v>
      </c>
    </row>
    <row r="49" spans="1:6" x14ac:dyDescent="0.3">
      <c r="A49" s="6" t="s">
        <v>37</v>
      </c>
      <c r="B49">
        <v>23</v>
      </c>
      <c r="C49">
        <v>275</v>
      </c>
      <c r="D49">
        <v>9</v>
      </c>
      <c r="E49">
        <v>296</v>
      </c>
      <c r="F49">
        <v>603</v>
      </c>
    </row>
    <row r="50" spans="1:6" x14ac:dyDescent="0.3">
      <c r="A50" s="6" t="s">
        <v>123</v>
      </c>
      <c r="B50">
        <v>8</v>
      </c>
      <c r="C50">
        <v>246</v>
      </c>
      <c r="D50">
        <v>30</v>
      </c>
      <c r="E50">
        <v>153</v>
      </c>
      <c r="F50">
        <v>437</v>
      </c>
    </row>
    <row r="51" spans="1:6" x14ac:dyDescent="0.3">
      <c r="A51" s="6" t="s">
        <v>146</v>
      </c>
      <c r="B51">
        <v>31</v>
      </c>
      <c r="C51">
        <v>168</v>
      </c>
      <c r="D51">
        <v>10</v>
      </c>
      <c r="E51">
        <v>189</v>
      </c>
      <c r="F51">
        <v>398</v>
      </c>
    </row>
    <row r="52" spans="1:6" x14ac:dyDescent="0.3">
      <c r="A52" s="6" t="s">
        <v>69</v>
      </c>
      <c r="B52">
        <v>24</v>
      </c>
      <c r="C52">
        <v>93</v>
      </c>
      <c r="D52">
        <v>19</v>
      </c>
      <c r="E52">
        <v>234</v>
      </c>
      <c r="F52">
        <v>370</v>
      </c>
    </row>
    <row r="53" spans="1:6" x14ac:dyDescent="0.3">
      <c r="A53" s="6" t="s">
        <v>30</v>
      </c>
      <c r="B53">
        <v>28</v>
      </c>
      <c r="C53">
        <v>94</v>
      </c>
      <c r="D53">
        <v>4</v>
      </c>
      <c r="E53">
        <v>146</v>
      </c>
      <c r="F53">
        <v>272</v>
      </c>
    </row>
    <row r="54" spans="1:6" x14ac:dyDescent="0.3">
      <c r="A54" s="6" t="s">
        <v>135</v>
      </c>
      <c r="B54">
        <v>12</v>
      </c>
      <c r="C54">
        <v>118</v>
      </c>
      <c r="D54">
        <v>13</v>
      </c>
      <c r="E54">
        <v>127</v>
      </c>
      <c r="F54">
        <v>270</v>
      </c>
    </row>
    <row r="55" spans="1:6" x14ac:dyDescent="0.3">
      <c r="A55" s="6" t="s">
        <v>67</v>
      </c>
      <c r="C55">
        <v>76</v>
      </c>
      <c r="D55">
        <v>3</v>
      </c>
      <c r="E55">
        <v>179</v>
      </c>
      <c r="F55">
        <v>258</v>
      </c>
    </row>
    <row r="56" spans="1:6" x14ac:dyDescent="0.3">
      <c r="A56" s="6" t="s">
        <v>128</v>
      </c>
      <c r="B56">
        <v>24</v>
      </c>
      <c r="C56">
        <v>69</v>
      </c>
      <c r="D56">
        <v>3</v>
      </c>
      <c r="E56">
        <v>99</v>
      </c>
      <c r="F56">
        <v>195</v>
      </c>
    </row>
    <row r="57" spans="1:6" x14ac:dyDescent="0.3">
      <c r="A57" s="6" t="s">
        <v>76</v>
      </c>
      <c r="B57">
        <v>6</v>
      </c>
      <c r="C57">
        <v>103</v>
      </c>
      <c r="D57">
        <v>4</v>
      </c>
      <c r="E57">
        <v>75</v>
      </c>
      <c r="F57">
        <v>188</v>
      </c>
    </row>
    <row r="58" spans="1:6" x14ac:dyDescent="0.3">
      <c r="A58" s="6" t="s">
        <v>81</v>
      </c>
      <c r="B58">
        <v>6</v>
      </c>
      <c r="C58">
        <v>90</v>
      </c>
      <c r="D58">
        <v>8</v>
      </c>
      <c r="E58">
        <v>43</v>
      </c>
      <c r="F58">
        <v>147</v>
      </c>
    </row>
    <row r="59" spans="1:6" x14ac:dyDescent="0.3">
      <c r="A59" s="6" t="s">
        <v>171</v>
      </c>
      <c r="C59">
        <v>35</v>
      </c>
      <c r="D59">
        <v>4</v>
      </c>
      <c r="E59">
        <v>26</v>
      </c>
      <c r="F59">
        <v>65</v>
      </c>
    </row>
    <row r="60" spans="1:6" x14ac:dyDescent="0.3">
      <c r="A60" s="6" t="s">
        <v>2520</v>
      </c>
      <c r="B60">
        <v>736</v>
      </c>
      <c r="C60">
        <v>4672</v>
      </c>
      <c r="D60">
        <v>317</v>
      </c>
      <c r="E60">
        <v>6272</v>
      </c>
      <c r="F60">
        <v>11997</v>
      </c>
    </row>
    <row r="65" spans="1:14" x14ac:dyDescent="0.3">
      <c r="A65" s="5" t="s">
        <v>11</v>
      </c>
      <c r="B65" t="s">
        <v>2522</v>
      </c>
      <c r="C65" t="s">
        <v>2523</v>
      </c>
      <c r="E65" s="9" t="s">
        <v>10</v>
      </c>
      <c r="F65" s="14" t="s">
        <v>11</v>
      </c>
      <c r="G65" s="14" t="s">
        <v>2522</v>
      </c>
    </row>
    <row r="66" spans="1:14" x14ac:dyDescent="0.3">
      <c r="A66" s="6" t="s">
        <v>33</v>
      </c>
      <c r="B66">
        <v>3991</v>
      </c>
      <c r="C66">
        <v>215551.19999999981</v>
      </c>
      <c r="E66" t="s">
        <v>19</v>
      </c>
      <c r="F66" s="6" t="s">
        <v>33</v>
      </c>
      <c r="G66">
        <v>3991</v>
      </c>
      <c r="I66" s="14"/>
      <c r="J66" s="14"/>
      <c r="K66" s="14"/>
      <c r="L66" s="14"/>
      <c r="M66" s="14"/>
      <c r="N66" s="14"/>
    </row>
    <row r="67" spans="1:14" x14ac:dyDescent="0.3">
      <c r="A67" s="6" t="s">
        <v>62</v>
      </c>
      <c r="B67">
        <v>1768</v>
      </c>
      <c r="C67">
        <v>98367.099999999977</v>
      </c>
      <c r="E67" t="s">
        <v>19</v>
      </c>
      <c r="F67" s="6" t="s">
        <v>62</v>
      </c>
      <c r="G67">
        <v>1768</v>
      </c>
      <c r="I67" s="6"/>
    </row>
    <row r="68" spans="1:14" x14ac:dyDescent="0.3">
      <c r="A68" s="6" t="s">
        <v>77</v>
      </c>
      <c r="B68">
        <v>737</v>
      </c>
      <c r="C68">
        <v>37449.000000000007</v>
      </c>
      <c r="E68" t="s">
        <v>19</v>
      </c>
      <c r="F68" s="6" t="s">
        <v>77</v>
      </c>
      <c r="G68">
        <v>737</v>
      </c>
      <c r="I68" s="6"/>
    </row>
    <row r="69" spans="1:14" x14ac:dyDescent="0.3">
      <c r="A69" s="6" t="s">
        <v>55</v>
      </c>
      <c r="B69">
        <v>699</v>
      </c>
      <c r="C69">
        <v>37784.900000000016</v>
      </c>
      <c r="E69" t="s">
        <v>19</v>
      </c>
      <c r="F69" s="6" t="s">
        <v>55</v>
      </c>
      <c r="G69">
        <v>699</v>
      </c>
      <c r="I69" s="6"/>
    </row>
    <row r="70" spans="1:14" x14ac:dyDescent="0.3">
      <c r="A70" s="6" t="s">
        <v>115</v>
      </c>
      <c r="B70">
        <v>579</v>
      </c>
      <c r="C70">
        <v>31884.999999999996</v>
      </c>
      <c r="E70" t="s">
        <v>19</v>
      </c>
      <c r="F70" s="6" t="s">
        <v>115</v>
      </c>
      <c r="G70">
        <v>579</v>
      </c>
      <c r="I70" s="6"/>
    </row>
    <row r="71" spans="1:14" x14ac:dyDescent="0.3">
      <c r="A71" s="6" t="s">
        <v>72</v>
      </c>
      <c r="B71">
        <v>364</v>
      </c>
      <c r="C71">
        <v>16172.000000000005</v>
      </c>
      <c r="E71" t="s">
        <v>19</v>
      </c>
      <c r="F71" s="6" t="s">
        <v>72</v>
      </c>
      <c r="G71">
        <v>364</v>
      </c>
      <c r="I71" s="6"/>
    </row>
    <row r="72" spans="1:14" x14ac:dyDescent="0.3">
      <c r="A72" s="6" t="s">
        <v>59</v>
      </c>
      <c r="B72">
        <v>356</v>
      </c>
      <c r="C72">
        <v>20988.9</v>
      </c>
      <c r="E72" t="s">
        <v>19</v>
      </c>
      <c r="F72" s="6" t="s">
        <v>59</v>
      </c>
      <c r="G72">
        <v>356</v>
      </c>
      <c r="I72" s="6"/>
    </row>
    <row r="73" spans="1:14" x14ac:dyDescent="0.3">
      <c r="A73" s="6" t="s">
        <v>24</v>
      </c>
      <c r="B73">
        <v>341</v>
      </c>
      <c r="C73">
        <v>16168.7</v>
      </c>
      <c r="E73" t="s">
        <v>19</v>
      </c>
      <c r="F73" s="6" t="s">
        <v>24</v>
      </c>
      <c r="G73">
        <v>341</v>
      </c>
      <c r="I73" s="6"/>
    </row>
    <row r="74" spans="1:14" x14ac:dyDescent="0.3">
      <c r="A74" s="6" t="s">
        <v>103</v>
      </c>
      <c r="B74">
        <v>307</v>
      </c>
      <c r="C74">
        <v>21911.9</v>
      </c>
      <c r="E74" t="s">
        <v>19</v>
      </c>
      <c r="F74" s="6" t="s">
        <v>103</v>
      </c>
      <c r="G74">
        <v>307</v>
      </c>
      <c r="I74" s="6"/>
    </row>
    <row r="75" spans="1:14" x14ac:dyDescent="0.3">
      <c r="A75" s="6" t="s">
        <v>108</v>
      </c>
      <c r="B75">
        <v>295</v>
      </c>
      <c r="C75">
        <v>20939.600000000002</v>
      </c>
      <c r="E75" t="s">
        <v>19</v>
      </c>
      <c r="F75" s="6" t="s">
        <v>108</v>
      </c>
      <c r="G75">
        <v>295</v>
      </c>
      <c r="I75" s="6"/>
    </row>
    <row r="76" spans="1:14" x14ac:dyDescent="0.3">
      <c r="A76" s="6" t="s">
        <v>28</v>
      </c>
      <c r="B76">
        <v>279</v>
      </c>
      <c r="C76">
        <v>12662.500000000002</v>
      </c>
      <c r="E76" t="s">
        <v>19</v>
      </c>
      <c r="F76" s="6" t="s">
        <v>28</v>
      </c>
      <c r="G76">
        <v>279</v>
      </c>
      <c r="I76" s="6"/>
    </row>
    <row r="77" spans="1:14" x14ac:dyDescent="0.3">
      <c r="A77" s="6" t="s">
        <v>147</v>
      </c>
      <c r="B77">
        <v>222</v>
      </c>
      <c r="C77">
        <v>11354.199999999993</v>
      </c>
      <c r="E77" t="s">
        <v>19</v>
      </c>
      <c r="F77" s="6" t="s">
        <v>147</v>
      </c>
      <c r="G77">
        <v>222</v>
      </c>
      <c r="I77" s="6"/>
    </row>
    <row r="78" spans="1:14" x14ac:dyDescent="0.3">
      <c r="A78" s="6" t="s">
        <v>110</v>
      </c>
      <c r="B78">
        <v>195</v>
      </c>
      <c r="C78">
        <v>10185.899999999996</v>
      </c>
      <c r="E78" t="s">
        <v>19</v>
      </c>
      <c r="F78" s="6" t="s">
        <v>110</v>
      </c>
      <c r="G78">
        <v>195</v>
      </c>
      <c r="I78" s="6"/>
    </row>
    <row r="79" spans="1:14" x14ac:dyDescent="0.3">
      <c r="A79" s="6" t="s">
        <v>82</v>
      </c>
      <c r="B79">
        <v>179</v>
      </c>
      <c r="C79">
        <v>9869.0999999999985</v>
      </c>
      <c r="E79" t="s">
        <v>19</v>
      </c>
      <c r="F79" s="6" t="s">
        <v>82</v>
      </c>
      <c r="G79">
        <v>179</v>
      </c>
      <c r="I79" s="6"/>
    </row>
    <row r="80" spans="1:14" x14ac:dyDescent="0.3">
      <c r="A80" s="6" t="s">
        <v>158</v>
      </c>
      <c r="B80">
        <v>178</v>
      </c>
      <c r="C80">
        <v>7691.3</v>
      </c>
      <c r="E80" t="s">
        <v>19</v>
      </c>
      <c r="F80" s="6" t="s">
        <v>158</v>
      </c>
      <c r="G80">
        <v>178</v>
      </c>
      <c r="I80" s="6"/>
    </row>
    <row r="81" spans="1:9" x14ac:dyDescent="0.3">
      <c r="A81" s="6" t="s">
        <v>188</v>
      </c>
      <c r="B81">
        <v>178</v>
      </c>
      <c r="C81">
        <v>9680.399999999996</v>
      </c>
      <c r="E81" t="s">
        <v>19</v>
      </c>
      <c r="F81" s="6" t="s">
        <v>188</v>
      </c>
      <c r="G81">
        <v>178</v>
      </c>
      <c r="I81" s="6"/>
    </row>
    <row r="82" spans="1:9" x14ac:dyDescent="0.3">
      <c r="A82" s="6" t="s">
        <v>52</v>
      </c>
      <c r="B82">
        <v>141</v>
      </c>
      <c r="C82">
        <v>9414.7999999999993</v>
      </c>
      <c r="E82" t="s">
        <v>19</v>
      </c>
      <c r="F82" s="6" t="s">
        <v>52</v>
      </c>
      <c r="G82">
        <v>141</v>
      </c>
      <c r="I82" s="6"/>
    </row>
    <row r="83" spans="1:9" x14ac:dyDescent="0.3">
      <c r="A83" s="6" t="s">
        <v>201</v>
      </c>
      <c r="B83">
        <v>117</v>
      </c>
      <c r="C83">
        <v>5441.2</v>
      </c>
      <c r="E83" t="s">
        <v>19</v>
      </c>
      <c r="F83" s="6" t="s">
        <v>201</v>
      </c>
      <c r="G83">
        <v>117</v>
      </c>
      <c r="I83" s="6"/>
    </row>
    <row r="84" spans="1:9" x14ac:dyDescent="0.3">
      <c r="A84" s="6" t="s">
        <v>74</v>
      </c>
      <c r="B84">
        <v>95</v>
      </c>
      <c r="C84">
        <v>4334.9999999999991</v>
      </c>
      <c r="E84" t="s">
        <v>19</v>
      </c>
      <c r="F84" s="6" t="s">
        <v>74</v>
      </c>
      <c r="G84">
        <v>95</v>
      </c>
      <c r="I84" s="6"/>
    </row>
    <row r="85" spans="1:9" x14ac:dyDescent="0.3">
      <c r="A85" s="6" t="s">
        <v>113</v>
      </c>
      <c r="B85">
        <v>94</v>
      </c>
      <c r="C85">
        <v>3978.5</v>
      </c>
      <c r="E85" t="s">
        <v>19</v>
      </c>
      <c r="F85" s="6" t="s">
        <v>113</v>
      </c>
      <c r="G85">
        <v>94</v>
      </c>
      <c r="I85" s="6"/>
    </row>
    <row r="86" spans="1:9" x14ac:dyDescent="0.3">
      <c r="A86" s="6" t="s">
        <v>98</v>
      </c>
      <c r="B86">
        <v>88</v>
      </c>
      <c r="C86">
        <v>6444.9</v>
      </c>
      <c r="E86" t="s">
        <v>19</v>
      </c>
      <c r="F86" s="6" t="s">
        <v>98</v>
      </c>
      <c r="G86">
        <v>88</v>
      </c>
      <c r="I86" s="6"/>
    </row>
    <row r="87" spans="1:9" x14ac:dyDescent="0.3">
      <c r="A87" s="6" t="s">
        <v>186</v>
      </c>
      <c r="B87">
        <v>60</v>
      </c>
      <c r="C87">
        <v>2690.4</v>
      </c>
      <c r="E87" t="s">
        <v>19</v>
      </c>
      <c r="F87" s="6" t="s">
        <v>186</v>
      </c>
      <c r="G87">
        <v>60</v>
      </c>
      <c r="I87" s="6"/>
    </row>
    <row r="88" spans="1:9" x14ac:dyDescent="0.3">
      <c r="A88" s="6" t="s">
        <v>331</v>
      </c>
      <c r="B88">
        <v>59</v>
      </c>
      <c r="C88">
        <v>2661.5999999999995</v>
      </c>
      <c r="E88" t="s">
        <v>19</v>
      </c>
      <c r="F88" s="6" t="s">
        <v>331</v>
      </c>
      <c r="G88">
        <v>59</v>
      </c>
      <c r="I88" s="6"/>
    </row>
    <row r="89" spans="1:9" x14ac:dyDescent="0.3">
      <c r="A89" s="6" t="s">
        <v>1116</v>
      </c>
      <c r="B89">
        <v>56</v>
      </c>
      <c r="C89">
        <v>3391.1</v>
      </c>
      <c r="E89" t="s">
        <v>19</v>
      </c>
      <c r="F89" s="6" t="s">
        <v>1116</v>
      </c>
      <c r="G89">
        <v>56</v>
      </c>
      <c r="I89" s="6"/>
    </row>
    <row r="90" spans="1:9" x14ac:dyDescent="0.3">
      <c r="A90" s="6" t="s">
        <v>377</v>
      </c>
      <c r="B90">
        <v>52</v>
      </c>
      <c r="C90">
        <v>3175.9999999999995</v>
      </c>
      <c r="E90" t="s">
        <v>19</v>
      </c>
      <c r="F90" s="6" t="s">
        <v>377</v>
      </c>
      <c r="G90">
        <v>52</v>
      </c>
      <c r="I90" s="6"/>
    </row>
    <row r="91" spans="1:9" x14ac:dyDescent="0.3">
      <c r="A91" s="6" t="s">
        <v>587</v>
      </c>
      <c r="B91">
        <v>49</v>
      </c>
      <c r="C91">
        <v>2188.2999999999997</v>
      </c>
      <c r="E91" t="s">
        <v>19</v>
      </c>
      <c r="F91" s="6" t="s">
        <v>587</v>
      </c>
      <c r="G91">
        <v>49</v>
      </c>
      <c r="I91" s="6"/>
    </row>
    <row r="92" spans="1:9" x14ac:dyDescent="0.3">
      <c r="A92" s="6" t="s">
        <v>364</v>
      </c>
      <c r="B92">
        <v>45</v>
      </c>
      <c r="C92">
        <v>2687.3999999999996</v>
      </c>
      <c r="E92" t="s">
        <v>19</v>
      </c>
      <c r="F92" s="6" t="s">
        <v>364</v>
      </c>
      <c r="G92">
        <v>45</v>
      </c>
      <c r="I92" s="6"/>
    </row>
    <row r="93" spans="1:9" x14ac:dyDescent="0.3">
      <c r="A93" s="6" t="s">
        <v>309</v>
      </c>
      <c r="B93">
        <v>39</v>
      </c>
      <c r="C93">
        <v>2447.5</v>
      </c>
      <c r="E93" t="s">
        <v>19</v>
      </c>
      <c r="F93" s="6" t="s">
        <v>309</v>
      </c>
      <c r="G93">
        <v>39</v>
      </c>
      <c r="I93" s="6"/>
    </row>
    <row r="94" spans="1:9" x14ac:dyDescent="0.3">
      <c r="A94" s="6" t="s">
        <v>545</v>
      </c>
      <c r="B94">
        <v>39</v>
      </c>
      <c r="C94">
        <v>1463.3000000000002</v>
      </c>
      <c r="E94" t="s">
        <v>19</v>
      </c>
      <c r="F94" s="6" t="s">
        <v>545</v>
      </c>
      <c r="G94">
        <v>39</v>
      </c>
      <c r="I94" s="6"/>
    </row>
    <row r="95" spans="1:9" x14ac:dyDescent="0.3">
      <c r="A95" s="6" t="s">
        <v>334</v>
      </c>
      <c r="B95">
        <v>36</v>
      </c>
      <c r="C95">
        <v>1558.4</v>
      </c>
      <c r="E95" t="s">
        <v>19</v>
      </c>
      <c r="F95" s="6" t="s">
        <v>334</v>
      </c>
      <c r="G95">
        <v>36</v>
      </c>
      <c r="I95" s="6"/>
    </row>
    <row r="96" spans="1:9" x14ac:dyDescent="0.3">
      <c r="A96" s="6" t="s">
        <v>967</v>
      </c>
      <c r="B96">
        <v>35</v>
      </c>
      <c r="C96">
        <v>1062.5999999999999</v>
      </c>
      <c r="E96" t="s">
        <v>19</v>
      </c>
      <c r="F96" s="6" t="s">
        <v>967</v>
      </c>
      <c r="G96">
        <v>35</v>
      </c>
      <c r="I96" s="6"/>
    </row>
    <row r="97" spans="1:9" x14ac:dyDescent="0.3">
      <c r="A97" s="6" t="s">
        <v>437</v>
      </c>
      <c r="B97">
        <v>31</v>
      </c>
      <c r="C97">
        <v>2092.8000000000002</v>
      </c>
      <c r="E97" t="s">
        <v>19</v>
      </c>
      <c r="F97" s="6" t="s">
        <v>437</v>
      </c>
      <c r="G97">
        <v>31</v>
      </c>
      <c r="I97" s="6"/>
    </row>
    <row r="98" spans="1:9" x14ac:dyDescent="0.3">
      <c r="A98" s="6" t="s">
        <v>802</v>
      </c>
      <c r="B98">
        <v>31</v>
      </c>
      <c r="C98">
        <v>1607.8999999999999</v>
      </c>
      <c r="E98" t="s">
        <v>19</v>
      </c>
      <c r="F98" s="6" t="s">
        <v>802</v>
      </c>
      <c r="G98">
        <v>31</v>
      </c>
      <c r="I98" s="6"/>
    </row>
    <row r="99" spans="1:9" x14ac:dyDescent="0.3">
      <c r="A99" s="6" t="s">
        <v>949</v>
      </c>
      <c r="B99">
        <v>30</v>
      </c>
      <c r="C99">
        <v>2223.9</v>
      </c>
      <c r="E99" t="s">
        <v>19</v>
      </c>
      <c r="F99" s="6" t="s">
        <v>949</v>
      </c>
      <c r="G99">
        <v>30</v>
      </c>
      <c r="I99" s="6"/>
    </row>
    <row r="100" spans="1:9" x14ac:dyDescent="0.3">
      <c r="A100" s="6" t="s">
        <v>997</v>
      </c>
      <c r="B100">
        <v>28</v>
      </c>
      <c r="C100">
        <v>1405</v>
      </c>
      <c r="E100" t="s">
        <v>19</v>
      </c>
      <c r="F100" s="6" t="s">
        <v>997</v>
      </c>
      <c r="G100">
        <v>28</v>
      </c>
      <c r="I100" s="6"/>
    </row>
    <row r="101" spans="1:9" x14ac:dyDescent="0.3">
      <c r="A101" s="6" t="s">
        <v>49</v>
      </c>
      <c r="B101">
        <v>25</v>
      </c>
      <c r="C101">
        <v>1809.3</v>
      </c>
      <c r="E101" t="s">
        <v>19</v>
      </c>
      <c r="F101" s="6" t="s">
        <v>49</v>
      </c>
      <c r="G101">
        <v>25</v>
      </c>
      <c r="I101" s="6"/>
    </row>
    <row r="102" spans="1:9" x14ac:dyDescent="0.3">
      <c r="A102" s="6" t="s">
        <v>342</v>
      </c>
      <c r="B102">
        <v>23</v>
      </c>
      <c r="C102">
        <v>1129.7</v>
      </c>
      <c r="E102" t="s">
        <v>19</v>
      </c>
      <c r="F102" s="6" t="s">
        <v>342</v>
      </c>
      <c r="G102">
        <v>23</v>
      </c>
      <c r="I102" s="6"/>
    </row>
    <row r="103" spans="1:9" x14ac:dyDescent="0.3">
      <c r="A103" s="6" t="s">
        <v>292</v>
      </c>
      <c r="B103">
        <v>20</v>
      </c>
      <c r="C103">
        <v>958.7</v>
      </c>
      <c r="E103" t="s">
        <v>19</v>
      </c>
      <c r="F103" s="6" t="s">
        <v>292</v>
      </c>
      <c r="G103">
        <v>20</v>
      </c>
      <c r="I103" s="6"/>
    </row>
    <row r="104" spans="1:9" x14ac:dyDescent="0.3">
      <c r="A104" s="6" t="s">
        <v>243</v>
      </c>
      <c r="B104">
        <v>15</v>
      </c>
      <c r="C104">
        <v>615.29999999999995</v>
      </c>
      <c r="E104" t="s">
        <v>19</v>
      </c>
      <c r="F104" s="6" t="s">
        <v>243</v>
      </c>
      <c r="G104">
        <v>15</v>
      </c>
      <c r="I104" s="6"/>
    </row>
    <row r="105" spans="1:9" x14ac:dyDescent="0.3">
      <c r="A105" s="6" t="s">
        <v>429</v>
      </c>
      <c r="B105">
        <v>13</v>
      </c>
      <c r="C105">
        <v>392.8</v>
      </c>
      <c r="E105" t="s">
        <v>19</v>
      </c>
      <c r="F105" s="6" t="s">
        <v>429</v>
      </c>
      <c r="G105">
        <v>13</v>
      </c>
      <c r="I105" s="6"/>
    </row>
    <row r="106" spans="1:9" x14ac:dyDescent="0.3">
      <c r="A106" s="6" t="s">
        <v>2204</v>
      </c>
      <c r="B106">
        <v>13</v>
      </c>
      <c r="C106">
        <v>322.40000000000003</v>
      </c>
      <c r="E106" t="s">
        <v>19</v>
      </c>
      <c r="F106" s="6" t="s">
        <v>2204</v>
      </c>
      <c r="G106">
        <v>13</v>
      </c>
      <c r="I106" s="6"/>
    </row>
    <row r="107" spans="1:9" x14ac:dyDescent="0.3">
      <c r="A107" s="6" t="s">
        <v>84</v>
      </c>
      <c r="B107">
        <v>12</v>
      </c>
      <c r="C107">
        <v>326.20000000000005</v>
      </c>
      <c r="E107" t="s">
        <v>19</v>
      </c>
      <c r="F107" s="6" t="s">
        <v>84</v>
      </c>
      <c r="G107">
        <v>12</v>
      </c>
      <c r="I107" s="6"/>
    </row>
    <row r="108" spans="1:9" x14ac:dyDescent="0.3">
      <c r="A108" s="6" t="s">
        <v>258</v>
      </c>
      <c r="B108">
        <v>9</v>
      </c>
      <c r="C108">
        <v>273.59999999999997</v>
      </c>
      <c r="E108" t="s">
        <v>19</v>
      </c>
      <c r="F108" s="6" t="s">
        <v>258</v>
      </c>
      <c r="G108">
        <v>9</v>
      </c>
      <c r="I108" s="6"/>
    </row>
    <row r="109" spans="1:9" x14ac:dyDescent="0.3">
      <c r="A109" s="6" t="s">
        <v>641</v>
      </c>
      <c r="B109">
        <v>9</v>
      </c>
      <c r="C109">
        <v>800.3</v>
      </c>
      <c r="E109" t="s">
        <v>19</v>
      </c>
      <c r="F109" s="6" t="s">
        <v>641</v>
      </c>
      <c r="G109">
        <v>9</v>
      </c>
      <c r="I109" s="6"/>
    </row>
    <row r="110" spans="1:9" x14ac:dyDescent="0.3">
      <c r="A110" s="6" t="s">
        <v>208</v>
      </c>
      <c r="B110">
        <v>9</v>
      </c>
      <c r="C110">
        <v>343.2</v>
      </c>
      <c r="E110" t="s">
        <v>19</v>
      </c>
      <c r="F110" s="6" t="s">
        <v>208</v>
      </c>
      <c r="G110">
        <v>9</v>
      </c>
      <c r="I110" s="6"/>
    </row>
    <row r="111" spans="1:9" x14ac:dyDescent="0.3">
      <c r="A111" s="6" t="s">
        <v>86</v>
      </c>
      <c r="B111">
        <v>8</v>
      </c>
      <c r="C111">
        <v>887.5</v>
      </c>
      <c r="E111" t="s">
        <v>19</v>
      </c>
      <c r="F111" s="6" t="s">
        <v>86</v>
      </c>
      <c r="G111">
        <v>8</v>
      </c>
      <c r="I111" s="6"/>
    </row>
    <row r="112" spans="1:9" x14ac:dyDescent="0.3">
      <c r="A112" s="6" t="s">
        <v>268</v>
      </c>
      <c r="B112">
        <v>8</v>
      </c>
      <c r="C112">
        <v>332.3</v>
      </c>
      <c r="E112" t="s">
        <v>19</v>
      </c>
      <c r="F112" s="6" t="s">
        <v>268</v>
      </c>
      <c r="G112">
        <v>8</v>
      </c>
      <c r="I112" s="6"/>
    </row>
    <row r="113" spans="1:9" x14ac:dyDescent="0.3">
      <c r="A113" s="6" t="s">
        <v>416</v>
      </c>
      <c r="B113">
        <v>6</v>
      </c>
      <c r="C113">
        <v>445.79999999999995</v>
      </c>
      <c r="E113" t="s">
        <v>19</v>
      </c>
      <c r="F113" s="6" t="s">
        <v>416</v>
      </c>
      <c r="G113">
        <v>6</v>
      </c>
      <c r="I113" s="6"/>
    </row>
    <row r="114" spans="1:9" x14ac:dyDescent="0.3">
      <c r="A114" s="6" t="s">
        <v>79</v>
      </c>
      <c r="B114">
        <v>6</v>
      </c>
      <c r="C114">
        <v>323</v>
      </c>
      <c r="E114" t="s">
        <v>19</v>
      </c>
      <c r="F114" s="6" t="s">
        <v>79</v>
      </c>
      <c r="G114">
        <v>6</v>
      </c>
      <c r="I114" s="6"/>
    </row>
    <row r="115" spans="1:9" x14ac:dyDescent="0.3">
      <c r="A115" s="6" t="s">
        <v>338</v>
      </c>
      <c r="B115">
        <v>6</v>
      </c>
      <c r="C115">
        <v>206.1</v>
      </c>
      <c r="E115" t="s">
        <v>19</v>
      </c>
      <c r="F115" s="6" t="s">
        <v>338</v>
      </c>
      <c r="G115">
        <v>6</v>
      </c>
      <c r="I115" s="6"/>
    </row>
    <row r="116" spans="1:9" x14ac:dyDescent="0.3">
      <c r="A116" s="6" t="s">
        <v>608</v>
      </c>
      <c r="B116">
        <v>5</v>
      </c>
      <c r="C116">
        <v>167.70000000000002</v>
      </c>
      <c r="E116" t="s">
        <v>19</v>
      </c>
      <c r="F116" s="6" t="s">
        <v>608</v>
      </c>
      <c r="G116">
        <v>5</v>
      </c>
      <c r="I116" s="6"/>
    </row>
    <row r="117" spans="1:9" x14ac:dyDescent="0.3">
      <c r="A117" s="6" t="s">
        <v>670</v>
      </c>
      <c r="B117">
        <v>4</v>
      </c>
      <c r="C117">
        <v>204.8</v>
      </c>
      <c r="E117" t="s">
        <v>19</v>
      </c>
      <c r="F117" s="6" t="s">
        <v>670</v>
      </c>
      <c r="G117">
        <v>4</v>
      </c>
      <c r="I117" s="6"/>
    </row>
    <row r="118" spans="1:9" x14ac:dyDescent="0.3">
      <c r="A118" s="6" t="s">
        <v>1383</v>
      </c>
      <c r="B118">
        <v>4</v>
      </c>
      <c r="C118">
        <v>167.5</v>
      </c>
      <c r="E118" t="s">
        <v>19</v>
      </c>
      <c r="F118" s="6" t="s">
        <v>1383</v>
      </c>
      <c r="G118">
        <v>4</v>
      </c>
      <c r="I118" s="6"/>
    </row>
    <row r="119" spans="1:9" x14ac:dyDescent="0.3">
      <c r="A119" s="6" t="s">
        <v>1911</v>
      </c>
      <c r="B119">
        <v>3</v>
      </c>
      <c r="C119">
        <v>285</v>
      </c>
      <c r="E119" t="s">
        <v>19</v>
      </c>
      <c r="F119" s="6" t="s">
        <v>1911</v>
      </c>
      <c r="G119">
        <v>3</v>
      </c>
      <c r="I119" s="6"/>
    </row>
    <row r="120" spans="1:9" x14ac:dyDescent="0.3">
      <c r="A120" s="6" t="s">
        <v>392</v>
      </c>
      <c r="B120">
        <v>2</v>
      </c>
      <c r="C120">
        <v>28.4</v>
      </c>
      <c r="E120" t="s">
        <v>19</v>
      </c>
      <c r="F120" s="6" t="s">
        <v>392</v>
      </c>
      <c r="G120">
        <v>2</v>
      </c>
      <c r="I120" s="6"/>
    </row>
    <row r="121" spans="1:9" x14ac:dyDescent="0.3">
      <c r="A121" s="6" t="s">
        <v>700</v>
      </c>
      <c r="B121">
        <v>2</v>
      </c>
      <c r="C121">
        <v>30.8</v>
      </c>
      <c r="E121" t="s">
        <v>19</v>
      </c>
      <c r="F121" s="6" t="s">
        <v>700</v>
      </c>
      <c r="G121">
        <v>2</v>
      </c>
      <c r="I121" s="6"/>
    </row>
    <row r="122" spans="1:9" x14ac:dyDescent="0.3">
      <c r="A122" s="6" t="s">
        <v>1426</v>
      </c>
      <c r="B122">
        <v>1</v>
      </c>
      <c r="C122">
        <v>26.2</v>
      </c>
      <c r="E122" t="s">
        <v>19</v>
      </c>
      <c r="F122" s="6" t="s">
        <v>1426</v>
      </c>
      <c r="G122">
        <v>1</v>
      </c>
      <c r="I122" s="6"/>
    </row>
    <row r="123" spans="1:9" x14ac:dyDescent="0.3">
      <c r="A123" s="6" t="s">
        <v>20</v>
      </c>
      <c r="B123">
        <v>1</v>
      </c>
      <c r="C123">
        <v>10.9</v>
      </c>
      <c r="E123" t="s">
        <v>19</v>
      </c>
      <c r="F123" s="6" t="s">
        <v>20</v>
      </c>
      <c r="G123">
        <v>1</v>
      </c>
      <c r="I123" s="6"/>
    </row>
    <row r="124" spans="1:9" x14ac:dyDescent="0.3">
      <c r="A124" s="6" t="s">
        <v>2520</v>
      </c>
      <c r="B124">
        <v>11997</v>
      </c>
      <c r="C124">
        <v>649019.79999999981</v>
      </c>
      <c r="I124" s="6"/>
    </row>
    <row r="130" spans="1:2" x14ac:dyDescent="0.3">
      <c r="A130" s="5" t="s">
        <v>2519</v>
      </c>
      <c r="B130" t="s">
        <v>2521</v>
      </c>
    </row>
    <row r="131" spans="1:2" x14ac:dyDescent="0.3">
      <c r="A131" s="6">
        <v>1</v>
      </c>
      <c r="B131">
        <v>101</v>
      </c>
    </row>
    <row r="132" spans="1:2" x14ac:dyDescent="0.3">
      <c r="A132" s="6">
        <v>2</v>
      </c>
      <c r="B132">
        <v>155</v>
      </c>
    </row>
    <row r="133" spans="1:2" x14ac:dyDescent="0.3">
      <c r="A133" s="6">
        <v>3</v>
      </c>
      <c r="B133">
        <v>151</v>
      </c>
    </row>
    <row r="134" spans="1:2" x14ac:dyDescent="0.3">
      <c r="A134" s="6">
        <v>4</v>
      </c>
      <c r="B134">
        <v>175</v>
      </c>
    </row>
    <row r="135" spans="1:2" x14ac:dyDescent="0.3">
      <c r="A135" s="6">
        <v>5</v>
      </c>
      <c r="B135">
        <v>162</v>
      </c>
    </row>
    <row r="136" spans="1:2" x14ac:dyDescent="0.3">
      <c r="A136" s="6">
        <v>6</v>
      </c>
      <c r="B136">
        <v>240</v>
      </c>
    </row>
    <row r="137" spans="1:2" x14ac:dyDescent="0.3">
      <c r="A137" s="6">
        <v>7</v>
      </c>
      <c r="B137">
        <v>191</v>
      </c>
    </row>
    <row r="138" spans="1:2" x14ac:dyDescent="0.3">
      <c r="A138" s="6">
        <v>8</v>
      </c>
      <c r="B138">
        <v>236</v>
      </c>
    </row>
    <row r="139" spans="1:2" x14ac:dyDescent="0.3">
      <c r="A139" s="6">
        <v>9</v>
      </c>
      <c r="B139">
        <v>202</v>
      </c>
    </row>
    <row r="140" spans="1:2" x14ac:dyDescent="0.3">
      <c r="A140" s="6">
        <v>10</v>
      </c>
      <c r="B140">
        <v>214</v>
      </c>
    </row>
    <row r="141" spans="1:2" x14ac:dyDescent="0.3">
      <c r="A141" s="6">
        <v>11</v>
      </c>
      <c r="B141">
        <v>189</v>
      </c>
    </row>
    <row r="142" spans="1:2" x14ac:dyDescent="0.3">
      <c r="A142" s="6">
        <v>12</v>
      </c>
      <c r="B142">
        <v>200</v>
      </c>
    </row>
    <row r="143" spans="1:2" x14ac:dyDescent="0.3">
      <c r="A143" s="6">
        <v>13</v>
      </c>
      <c r="B143">
        <v>184</v>
      </c>
    </row>
    <row r="144" spans="1:2" x14ac:dyDescent="0.3">
      <c r="A144" s="6" t="s">
        <v>2520</v>
      </c>
      <c r="B144">
        <v>2400</v>
      </c>
    </row>
    <row r="150" spans="1:2" x14ac:dyDescent="0.3">
      <c r="A150" s="5" t="s">
        <v>2519</v>
      </c>
      <c r="B150" t="s">
        <v>2521</v>
      </c>
    </row>
    <row r="151" spans="1:2" x14ac:dyDescent="0.3">
      <c r="A151" s="6">
        <v>1</v>
      </c>
      <c r="B151">
        <v>397</v>
      </c>
    </row>
    <row r="152" spans="1:2" x14ac:dyDescent="0.3">
      <c r="A152" s="6">
        <v>2</v>
      </c>
      <c r="B152">
        <v>540</v>
      </c>
    </row>
    <row r="153" spans="1:2" x14ac:dyDescent="0.3">
      <c r="A153" s="6">
        <v>3</v>
      </c>
      <c r="B153">
        <v>375</v>
      </c>
    </row>
    <row r="154" spans="1:2" x14ac:dyDescent="0.3">
      <c r="A154" s="6">
        <v>5</v>
      </c>
      <c r="B154">
        <v>195</v>
      </c>
    </row>
    <row r="155" spans="1:2" x14ac:dyDescent="0.3">
      <c r="A155" s="6">
        <v>4</v>
      </c>
      <c r="B155">
        <v>246</v>
      </c>
    </row>
    <row r="156" spans="1:2" x14ac:dyDescent="0.3">
      <c r="A156" s="6" t="s">
        <v>2533</v>
      </c>
      <c r="B156">
        <v>414</v>
      </c>
    </row>
    <row r="157" spans="1:2" x14ac:dyDescent="0.3">
      <c r="A157" s="6" t="s">
        <v>2534</v>
      </c>
      <c r="B157">
        <v>233</v>
      </c>
    </row>
    <row r="158" spans="1:2" x14ac:dyDescent="0.3">
      <c r="A158" s="6" t="s">
        <v>2520</v>
      </c>
      <c r="B158">
        <v>2400</v>
      </c>
    </row>
    <row r="163" spans="1:7" x14ac:dyDescent="0.3">
      <c r="A163" s="5" t="s">
        <v>2522</v>
      </c>
      <c r="B163" s="5" t="s">
        <v>2528</v>
      </c>
    </row>
    <row r="164" spans="1:7" x14ac:dyDescent="0.3">
      <c r="A164" s="5" t="s">
        <v>2519</v>
      </c>
      <c r="B164">
        <v>1</v>
      </c>
      <c r="C164">
        <v>2</v>
      </c>
      <c r="D164">
        <v>3</v>
      </c>
      <c r="E164">
        <v>4</v>
      </c>
      <c r="F164">
        <v>5</v>
      </c>
      <c r="G164" t="s">
        <v>2520</v>
      </c>
    </row>
    <row r="165" spans="1:7" x14ac:dyDescent="0.3">
      <c r="A165" s="6" t="s">
        <v>2535</v>
      </c>
      <c r="B165">
        <v>48</v>
      </c>
      <c r="C165">
        <v>188</v>
      </c>
      <c r="D165">
        <v>775</v>
      </c>
      <c r="E165">
        <v>1640</v>
      </c>
      <c r="F165">
        <v>1214</v>
      </c>
      <c r="G165">
        <v>3865</v>
      </c>
    </row>
    <row r="166" spans="1:7" x14ac:dyDescent="0.3">
      <c r="A166" s="6" t="s">
        <v>2536</v>
      </c>
      <c r="B166">
        <v>26</v>
      </c>
      <c r="C166">
        <v>266</v>
      </c>
      <c r="D166">
        <v>881</v>
      </c>
      <c r="E166">
        <v>2014</v>
      </c>
      <c r="F166">
        <v>1139</v>
      </c>
      <c r="G166">
        <v>4326</v>
      </c>
    </row>
    <row r="167" spans="1:7" x14ac:dyDescent="0.3">
      <c r="A167" s="6" t="s">
        <v>2537</v>
      </c>
      <c r="B167">
        <v>27</v>
      </c>
      <c r="C167">
        <v>170</v>
      </c>
      <c r="D167">
        <v>720</v>
      </c>
      <c r="E167">
        <v>1818</v>
      </c>
      <c r="F167">
        <v>1071</v>
      </c>
      <c r="G167">
        <v>3806</v>
      </c>
    </row>
    <row r="168" spans="1:7" x14ac:dyDescent="0.3">
      <c r="A168" s="6" t="s">
        <v>2520</v>
      </c>
      <c r="B168">
        <v>101</v>
      </c>
      <c r="C168">
        <v>624</v>
      </c>
      <c r="D168">
        <v>2376</v>
      </c>
      <c r="E168">
        <v>5472</v>
      </c>
      <c r="F168">
        <v>3424</v>
      </c>
      <c r="G168">
        <v>11997</v>
      </c>
    </row>
    <row r="193" spans="1:12" x14ac:dyDescent="0.3">
      <c r="A193" s="5" t="s">
        <v>2522</v>
      </c>
      <c r="B193" s="5" t="s">
        <v>2528</v>
      </c>
    </row>
    <row r="194" spans="1:12" ht="27" customHeight="1" x14ac:dyDescent="0.3">
      <c r="A194" s="5" t="s">
        <v>2519</v>
      </c>
      <c r="B194" t="s">
        <v>2529</v>
      </c>
      <c r="C194" t="s">
        <v>2530</v>
      </c>
      <c r="D194" t="s">
        <v>2531</v>
      </c>
      <c r="E194" t="s">
        <v>2532</v>
      </c>
      <c r="F194" t="s">
        <v>2520</v>
      </c>
      <c r="H194" s="15"/>
      <c r="I194" s="16" t="str">
        <f>B194</f>
        <v>FEMALE</v>
      </c>
      <c r="J194" s="16" t="str">
        <f t="shared" ref="J194:L195" si="0">C194</f>
        <v>MALE</v>
      </c>
      <c r="K194" s="16" t="str">
        <f t="shared" si="0"/>
        <v>OTHERS</v>
      </c>
      <c r="L194" s="16" t="str">
        <f t="shared" si="0"/>
        <v>UNKNOWN</v>
      </c>
    </row>
    <row r="195" spans="1:12" ht="27" customHeight="1" x14ac:dyDescent="0.3">
      <c r="A195" s="6" t="s">
        <v>18</v>
      </c>
      <c r="B195" s="8">
        <v>2.175543885971493E-2</v>
      </c>
      <c r="C195" s="8">
        <v>0.13378344586146537</v>
      </c>
      <c r="D195" s="8">
        <v>9.5023755938984742E-3</v>
      </c>
      <c r="E195" s="8">
        <v>0.18671334500291739</v>
      </c>
      <c r="F195" s="8">
        <v>0.35175460531799618</v>
      </c>
      <c r="H195" s="17" t="str">
        <f>A195</f>
        <v>App</v>
      </c>
      <c r="I195" s="18">
        <f>B195</f>
        <v>2.175543885971493E-2</v>
      </c>
      <c r="J195" s="18">
        <f t="shared" si="0"/>
        <v>0.13378344586146537</v>
      </c>
      <c r="K195" s="18">
        <f t="shared" si="0"/>
        <v>9.5023755938984742E-3</v>
      </c>
      <c r="L195" s="18">
        <f t="shared" si="0"/>
        <v>0.18671334500291739</v>
      </c>
    </row>
    <row r="196" spans="1:12" ht="27" customHeight="1" x14ac:dyDescent="0.3">
      <c r="A196" s="6" t="s">
        <v>51</v>
      </c>
      <c r="B196" s="8">
        <v>1.5503875968992248E-2</v>
      </c>
      <c r="C196" s="8">
        <v>3.9926648328748857E-2</v>
      </c>
      <c r="D196" s="8">
        <v>1.417020921897141E-3</v>
      </c>
      <c r="E196" s="8">
        <v>6.1098607985329664E-2</v>
      </c>
      <c r="F196" s="8">
        <v>0.1179461532049679</v>
      </c>
      <c r="H196" s="17" t="str">
        <f t="shared" ref="H196:H199" si="1">A196</f>
        <v>Instagram</v>
      </c>
      <c r="I196" s="18">
        <f t="shared" ref="I196:I199" si="2">B196</f>
        <v>1.5503875968992248E-2</v>
      </c>
      <c r="J196" s="18">
        <f t="shared" ref="J196:J199" si="3">C196</f>
        <v>3.9926648328748857E-2</v>
      </c>
      <c r="K196" s="18">
        <f t="shared" ref="K196:K199" si="4">D196</f>
        <v>1.417020921897141E-3</v>
      </c>
      <c r="L196" s="18">
        <f t="shared" ref="L196:L199" si="5">E196</f>
        <v>6.1098607985329664E-2</v>
      </c>
    </row>
    <row r="197" spans="1:12" ht="27" customHeight="1" x14ac:dyDescent="0.3">
      <c r="A197" s="6" t="s">
        <v>70</v>
      </c>
      <c r="B197" s="8">
        <v>4.0843544219388182E-3</v>
      </c>
      <c r="C197" s="8">
        <v>4.2510627656914227E-2</v>
      </c>
      <c r="D197" s="8">
        <v>3.3341668750520963E-3</v>
      </c>
      <c r="E197" s="8">
        <v>6.5766441610402598E-2</v>
      </c>
      <c r="F197" s="8">
        <v>0.11569559056430774</v>
      </c>
      <c r="H197" s="17" t="str">
        <f t="shared" si="1"/>
        <v>Partner App</v>
      </c>
      <c r="I197" s="18">
        <f t="shared" si="2"/>
        <v>4.0843544219388182E-3</v>
      </c>
      <c r="J197" s="18">
        <f t="shared" si="3"/>
        <v>4.2510627656914227E-2</v>
      </c>
      <c r="K197" s="18">
        <f t="shared" si="4"/>
        <v>3.3341668750520963E-3</v>
      </c>
      <c r="L197" s="18">
        <f t="shared" si="5"/>
        <v>6.5766441610402598E-2</v>
      </c>
    </row>
    <row r="198" spans="1:12" ht="27" customHeight="1" x14ac:dyDescent="0.3">
      <c r="A198" s="6" t="s">
        <v>40</v>
      </c>
      <c r="B198" s="8">
        <v>8.8355422188880553E-3</v>
      </c>
      <c r="C198" s="8">
        <v>7.7519379844961239E-2</v>
      </c>
      <c r="D198" s="8">
        <v>6.1682087188463779E-3</v>
      </c>
      <c r="E198" s="8">
        <v>9.9858297907810284E-2</v>
      </c>
      <c r="F198" s="8">
        <v>0.19238142869050595</v>
      </c>
      <c r="H198" s="17" t="str">
        <f t="shared" si="1"/>
        <v>Target.com</v>
      </c>
      <c r="I198" s="18">
        <f t="shared" si="2"/>
        <v>8.8355422188880553E-3</v>
      </c>
      <c r="J198" s="18">
        <f t="shared" si="3"/>
        <v>7.7519379844961239E-2</v>
      </c>
      <c r="K198" s="18">
        <f t="shared" si="4"/>
        <v>6.1682087188463779E-3</v>
      </c>
      <c r="L198" s="18">
        <f t="shared" si="5"/>
        <v>9.9858297907810284E-2</v>
      </c>
    </row>
    <row r="199" spans="1:12" ht="27" customHeight="1" x14ac:dyDescent="0.3">
      <c r="A199" s="6" t="s">
        <v>35</v>
      </c>
      <c r="B199" s="8">
        <v>1.1169459031424522E-2</v>
      </c>
      <c r="C199" s="8">
        <v>9.569058931399517E-2</v>
      </c>
      <c r="D199" s="8">
        <v>6.0015003750937736E-3</v>
      </c>
      <c r="E199" s="8">
        <v>0.10936067350170876</v>
      </c>
      <c r="F199" s="8">
        <v>0.22222222222222221</v>
      </c>
      <c r="H199" s="17" t="str">
        <f t="shared" si="1"/>
        <v>Website</v>
      </c>
      <c r="I199" s="18">
        <f t="shared" si="2"/>
        <v>1.1169459031424522E-2</v>
      </c>
      <c r="J199" s="18">
        <f t="shared" si="3"/>
        <v>9.569058931399517E-2</v>
      </c>
      <c r="K199" s="18">
        <f t="shared" si="4"/>
        <v>6.0015003750937736E-3</v>
      </c>
      <c r="L199" s="18">
        <f t="shared" si="5"/>
        <v>0.10936067350170876</v>
      </c>
    </row>
    <row r="200" spans="1:12" x14ac:dyDescent="0.3">
      <c r="A200" s="6" t="s">
        <v>2520</v>
      </c>
      <c r="B200" s="8">
        <v>6.1348670500958574E-2</v>
      </c>
      <c r="C200" s="8">
        <v>0.38943069100608485</v>
      </c>
      <c r="D200" s="8">
        <v>2.6423272484787864E-2</v>
      </c>
      <c r="E200" s="8">
        <v>0.52279736600816873</v>
      </c>
      <c r="F200" s="8">
        <v>1</v>
      </c>
    </row>
  </sheetData>
  <conditionalFormatting sqref="H28:L33">
    <cfRule type="colorScale" priority="2">
      <colorScale>
        <cfvo type="min"/>
        <cfvo type="max"/>
        <color rgb="FF63BE7B"/>
        <color rgb="FFFCFCFF"/>
      </colorScale>
    </cfRule>
  </conditionalFormatting>
  <conditionalFormatting sqref="H194:L199">
    <cfRule type="colorScale" priority="1">
      <colorScale>
        <cfvo type="min"/>
        <cfvo type="max"/>
        <color rgb="FF63BE7B"/>
        <color rgb="FFFCFCFF"/>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4B4F-6388-40D6-A33C-55DD9ED7B60B}">
  <dimension ref="A1"/>
  <sheetViews>
    <sheetView tabSelected="1" zoomScale="80" zoomScaleNormal="80" workbookViewId="0">
      <selection activeCell="AB28" sqref="AB28"/>
    </sheetView>
  </sheetViews>
  <sheetFormatPr defaultRowHeight="14.4" x14ac:dyDescent="0.3"/>
  <cols>
    <col min="1" max="1" width="4" customWidth="1"/>
    <col min="2" max="2" width="20" customWidth="1"/>
    <col min="3" max="3" width="4"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C18" sqref="C18"/>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 "MALE",orders[[#This Row],[Customer Gender]]="", "FEMALE",orders[[#This Row],[Customer Gender]]="O", "OTHERS",TRUE,"UNKNOWN")</f>
        <v>FEMALE</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 "MALE",orders[[#This Row],[Customer Gender]]="", "FEMALE",orders[[#This Row],[Customer Gender]]="O", "OTHERS",TRUE,"UNKNOWN")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 "MALE",orders[[#This Row],[Customer Gender]]="", "FEMALE",orders[[#This Row],[Customer Gender]]="O", "OTHERS",TRUE,"UNKNOWN")</f>
        <v>UNKNOWN</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 "MALE",orders[[#This Row],[Customer Gender]]="", "FEMALE",orders[[#This Row],[Customer Gender]]="O", "OTHERS",TRUE,"UNKNOWN")</f>
        <v>UNKNOWN</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 "MALE",orders[[#This Row],[Customer Gender]]="", "FEMALE",orders[[#This Row],[Customer Gender]]="O", "OTHERS",TRUE,"UNKNOWN")</f>
        <v>UNKNOWN</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 "MALE",orders[[#This Row],[Customer Gender]]="", "FEMALE",orders[[#This Row],[Customer Gender]]="O", "OTHERS",TRUE,"UNKNOWN")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 "MALE",orders[[#This Row],[Customer Gender]]="", "FEMALE",orders[[#This Row],[Customer Gender]]="O", "OTHERS",TRUE,"UNKNOWN")</f>
        <v>UNKNOWN</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 "MALE",orders[[#This Row],[Customer Gender]]="", "FEMALE",orders[[#This Row],[Customer Gender]]="O", "OTHERS",TRUE,"UNKNOWN")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 "MALE",orders[[#This Row],[Customer Gender]]="", "FEMALE",orders[[#This Row],[Customer Gender]]="O", "OTHERS",TRUE,"UNKNOWN")</f>
        <v>UNKNOWN</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 "MALE",orders[[#This Row],[Customer Gender]]="", "FEMALE",orders[[#This Row],[Customer Gender]]="O", "OTHERS",TRUE,"UNKNOWN")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 "MALE",orders[[#This Row],[Customer Gender]]="", "FEMALE",orders[[#This Row],[Customer Gender]]="O", "OTHERS",TRUE,"UNKNOWN")</f>
        <v>UNKNOWN</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 "MALE",orders[[#This Row],[Customer Gender]]="", "FEMALE",orders[[#This Row],[Customer Gender]]="O", "OTHERS",TRUE,"UNKNOWN")</f>
        <v>UNKNOWN</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 "MALE",orders[[#This Row],[Customer Gender]]="", "FEMALE",orders[[#This Row],[Customer Gender]]="O", "OTHERS",TRUE,"UNKNOWN")</f>
        <v>UNKNOWN</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 "MALE",orders[[#This Row],[Customer Gender]]="", "FEMALE",orders[[#This Row],[Customer Gender]]="O", "OTHERS",TRUE,"UNKNOWN")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 "MALE",orders[[#This Row],[Customer Gender]]="", "FEMALE",orders[[#This Row],[Customer Gender]]="O", "OTHERS",TRUE,"UNKNOWN")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 "MALE",orders[[#This Row],[Customer Gender]]="", "FEMALE",orders[[#This Row],[Customer Gender]]="O", "OTHERS",TRUE,"UNKNOWN")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 "MALE",orders[[#This Row],[Customer Gender]]="", "FEMALE",orders[[#This Row],[Customer Gender]]="O", "OTHERS",TRUE,"UNKNOWN")</f>
        <v>UNKNOWN</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 "MALE",orders[[#This Row],[Customer Gender]]="", "FEMALE",orders[[#This Row],[Customer Gender]]="O", "OTHERS",TRUE,"UNKNOWN")</f>
        <v>UNKNOWN</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 "MALE",orders[[#This Row],[Customer Gender]]="", "FEMALE",orders[[#This Row],[Customer Gender]]="O", "OTHERS",TRUE,"UNKNOWN")</f>
        <v>UNKNOWN</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 "MALE",orders[[#This Row],[Customer Gender]]="", "FEMALE",orders[[#This Row],[Customer Gender]]="O", "OTHERS",TRUE,"UNKNOWN")</f>
        <v>UNKNOWN</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 "MALE",orders[[#This Row],[Customer Gender]]="", "FEMALE",orders[[#This Row],[Customer Gender]]="O", "OTHERS",TRUE,"UNKNOWN")</f>
        <v>UNKNOWN</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 "MALE",orders[[#This Row],[Customer Gender]]="", "FEMALE",orders[[#This Row],[Customer Gender]]="O", "OTHERS",TRUE,"UNKNOWN")</f>
        <v>UNKNOWN</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 "MALE",orders[[#This Row],[Customer Gender]]="", "FEMALE",orders[[#This Row],[Customer Gender]]="O", "OTHERS",TRUE,"UNKNOWN")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 "MALE",orders[[#This Row],[Customer Gender]]="", "FEMALE",orders[[#This Row],[Customer Gender]]="O", "OTHERS",TRUE,"UNKNOWN")</f>
        <v>UNKNOWN</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 "MALE",orders[[#This Row],[Customer Gender]]="", "FEMALE",orders[[#This Row],[Customer Gender]]="O", "OTHERS",TRUE,"UNKNOWN")</f>
        <v>UNKNOWN</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 "MALE",orders[[#This Row],[Customer Gender]]="", "FEMALE",orders[[#This Row],[Customer Gender]]="O", "OTHERS",TRUE,"UNKNOWN")</f>
        <v>UNKNOWN</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 "MALE",orders[[#This Row],[Customer Gender]]="", "FEMALE",orders[[#This Row],[Customer Gender]]="O", "OTHERS",TRUE,"UNKNOWN")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 "MALE",orders[[#This Row],[Customer Gender]]="", "FEMALE",orders[[#This Row],[Customer Gender]]="O", "OTHERS",TRUE,"UNKNOWN")</f>
        <v>FEMALE</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 "MALE",orders[[#This Row],[Customer Gender]]="", "FEMALE",orders[[#This Row],[Customer Gender]]="O", "OTHERS",TRUE,"UNKNOWN")</f>
        <v>FEMALE</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 "MALE",orders[[#This Row],[Customer Gender]]="", "FEMALE",orders[[#This Row],[Customer Gender]]="O", "OTHERS",TRUE,"UNKNOWN")</f>
        <v>UNKNOWN</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 "MALE",orders[[#This Row],[Customer Gender]]="", "FEMALE",orders[[#This Row],[Customer Gender]]="O", "OTHERS",TRUE,"UNKNOWN")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 "MALE",orders[[#This Row],[Customer Gender]]="", "FEMALE",orders[[#This Row],[Customer Gender]]="O", "OTHERS",TRUE,"UNKNOWN")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 "MALE",orders[[#This Row],[Customer Gender]]="", "FEMALE",orders[[#This Row],[Customer Gender]]="O", "OTHERS",TRUE,"UNKNOWN")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 "MALE",orders[[#This Row],[Customer Gender]]="", "FEMALE",orders[[#This Row],[Customer Gender]]="O", "OTHERS",TRUE,"UNKNOWN")</f>
        <v>OTHERS</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 "MALE",orders[[#This Row],[Customer Gender]]="", "FEMALE",orders[[#This Row],[Customer Gender]]="O", "OTHERS",TRUE,"UNKNOWN")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 "MALE",orders[[#This Row],[Customer Gender]]="", "FEMALE",orders[[#This Row],[Customer Gender]]="O", "OTHERS",TRUE,"UNKNOWN")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 "MALE",orders[[#This Row],[Customer Gender]]="", "FEMALE",orders[[#This Row],[Customer Gender]]="O", "OTHERS",TRUE,"UNKNOWN")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 "MALE",orders[[#This Row],[Customer Gender]]="", "FEMALE",orders[[#This Row],[Customer Gender]]="O", "OTHERS",TRUE,"UNKNOWN")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 "MALE",orders[[#This Row],[Customer Gender]]="", "FEMALE",orders[[#This Row],[Customer Gender]]="O", "OTHERS",TRUE,"UNKNOWN")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 "MALE",orders[[#This Row],[Customer Gender]]="", "FEMALE",orders[[#This Row],[Customer Gender]]="O", "OTHERS",TRUE,"UNKNOWN")</f>
        <v>UNKNOWN</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 "MALE",orders[[#This Row],[Customer Gender]]="", "FEMALE",orders[[#This Row],[Customer Gender]]="O", "OTHERS",TRUE,"UNKNOWN")</f>
        <v>UNKNOWN</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 "MALE",orders[[#This Row],[Customer Gender]]="", "FEMALE",orders[[#This Row],[Customer Gender]]="O", "OTHERS",TRUE,"UNKNOWN")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 "MALE",orders[[#This Row],[Customer Gender]]="", "FEMALE",orders[[#This Row],[Customer Gender]]="O", "OTHERS",TRUE,"UNKNOWN")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 "MALE",orders[[#This Row],[Customer Gender]]="", "FEMALE",orders[[#This Row],[Customer Gender]]="O", "OTHERS",TRUE,"UNKNOWN")</f>
        <v>UNKNOWN</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 "MALE",orders[[#This Row],[Customer Gender]]="", "FEMALE",orders[[#This Row],[Customer Gender]]="O", "OTHERS",TRUE,"UNKNOWN")</f>
        <v>UNKNOWN</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 "MALE",orders[[#This Row],[Customer Gender]]="", "FEMALE",orders[[#This Row],[Customer Gender]]="O", "OTHERS",TRUE,"UNKNOWN")</f>
        <v>UNKNOWN</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 "MALE",orders[[#This Row],[Customer Gender]]="", "FEMALE",orders[[#This Row],[Customer Gender]]="O", "OTHERS",TRUE,"UNKNOWN")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 "MALE",orders[[#This Row],[Customer Gender]]="", "FEMALE",orders[[#This Row],[Customer Gender]]="O", "OTHERS",TRUE,"UNKNOWN")</f>
        <v>UNKNOWN</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 "MALE",orders[[#This Row],[Customer Gender]]="", "FEMALE",orders[[#This Row],[Customer Gender]]="O", "OTHERS",TRUE,"UNKNOWN")</f>
        <v>UNKNOWN</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 "MALE",orders[[#This Row],[Customer Gender]]="", "FEMALE",orders[[#This Row],[Customer Gender]]="O", "OTHERS",TRUE,"UNKNOWN")</f>
        <v>UNKNOWN</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 "MALE",orders[[#This Row],[Customer Gender]]="", "FEMALE",orders[[#This Row],[Customer Gender]]="O", "OTHERS",TRUE,"UNKNOWN")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 "MALE",orders[[#This Row],[Customer Gender]]="", "FEMALE",orders[[#This Row],[Customer Gender]]="O", "OTHERS",TRUE,"UNKNOWN")</f>
        <v>UNKNOWN</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 "MALE",orders[[#This Row],[Customer Gender]]="", "FEMALE",orders[[#This Row],[Customer Gender]]="O", "OTHERS",TRUE,"UNKNOWN")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 "MALE",orders[[#This Row],[Customer Gender]]="", "FEMALE",orders[[#This Row],[Customer Gender]]="O", "OTHERS",TRUE,"UNKNOWN")</f>
        <v>UNKNOWN</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 "MALE",orders[[#This Row],[Customer Gender]]="", "FEMALE",orders[[#This Row],[Customer Gender]]="O", "OTHERS",TRUE,"UNKNOWN")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 "MALE",orders[[#This Row],[Customer Gender]]="", "FEMALE",orders[[#This Row],[Customer Gender]]="O", "OTHERS",TRUE,"UNKNOWN")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 "MALE",orders[[#This Row],[Customer Gender]]="", "FEMALE",orders[[#This Row],[Customer Gender]]="O", "OTHERS",TRUE,"UNKNOWN")</f>
        <v>UNKNOWN</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 "MALE",orders[[#This Row],[Customer Gender]]="", "FEMALE",orders[[#This Row],[Customer Gender]]="O", "OTHERS",TRUE,"UNKNOWN")</f>
        <v>UNKNOWN</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 "MALE",orders[[#This Row],[Customer Gender]]="", "FEMALE",orders[[#This Row],[Customer Gender]]="O", "OTHERS",TRUE,"UNKNOWN")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 "MALE",orders[[#This Row],[Customer Gender]]="", "FEMALE",orders[[#This Row],[Customer Gender]]="O", "OTHERS",TRUE,"UNKNOWN")</f>
        <v>UNKNOWN</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 "MALE",orders[[#This Row],[Customer Gender]]="", "FEMALE",orders[[#This Row],[Customer Gender]]="O", "OTHERS",TRUE,"UNKNOWN")</f>
        <v>UNKNOWN</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 "MALE",orders[[#This Row],[Customer Gender]]="", "FEMALE",orders[[#This Row],[Customer Gender]]="O", "OTHERS",TRUE,"UNKNOWN")</f>
        <v>UNKNOWN</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 "MALE",orders[[#This Row],[Customer Gender]]="", "FEMALE",orders[[#This Row],[Customer Gender]]="O", "OTHERS",TRUE,"UNKNOWN")</f>
        <v>UNKNOWN</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 "MALE",orders[[#This Row],[Customer Gender]]="", "FEMALE",orders[[#This Row],[Customer Gender]]="O", "OTHERS",TRUE,"UNKNOWN")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 "MALE",orders[[#This Row],[Customer Gender]]="", "FEMALE",orders[[#This Row],[Customer Gender]]="O", "OTHERS",TRUE,"UNKNOWN")</f>
        <v>UNKNOWN</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 "MALE",orders[[#This Row],[Customer Gender]]="", "FEMALE",orders[[#This Row],[Customer Gender]]="O", "OTHERS",TRUE,"UNKNOWN")</f>
        <v>UNKNOWN</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 "MALE",orders[[#This Row],[Customer Gender]]="", "FEMALE",orders[[#This Row],[Customer Gender]]="O", "OTHERS",TRUE,"UNKNOWN")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 "MALE",orders[[#This Row],[Customer Gender]]="", "FEMALE",orders[[#This Row],[Customer Gender]]="O", "OTHERS",TRUE,"UNKNOWN")</f>
        <v>UNKNOWN</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 "MALE",orders[[#This Row],[Customer Gender]]="", "FEMALE",orders[[#This Row],[Customer Gender]]="O", "OTHERS",TRUE,"UNKNOWN")</f>
        <v>UNKNOWN</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 "MALE",orders[[#This Row],[Customer Gender]]="", "FEMALE",orders[[#This Row],[Customer Gender]]="O", "OTHERS",TRUE,"UNKNOWN")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 "MALE",orders[[#This Row],[Customer Gender]]="", "FEMALE",orders[[#This Row],[Customer Gender]]="O", "OTHERS",TRUE,"UNKNOWN")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 "MALE",orders[[#This Row],[Customer Gender]]="", "FEMALE",orders[[#This Row],[Customer Gender]]="O", "OTHERS",TRUE,"UNKNOWN")</f>
        <v>UNKNOWN</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 "MALE",orders[[#This Row],[Customer Gender]]="", "FEMALE",orders[[#This Row],[Customer Gender]]="O", "OTHERS",TRUE,"UNKNOWN")</f>
        <v>UNKNOWN</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 "MALE",orders[[#This Row],[Customer Gender]]="", "FEMALE",orders[[#This Row],[Customer Gender]]="O", "OTHERS",TRUE,"UNKNOWN")</f>
        <v>UNKNOWN</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 "MALE",orders[[#This Row],[Customer Gender]]="", "FEMALE",orders[[#This Row],[Customer Gender]]="O", "OTHERS",TRUE,"UNKNOWN")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 "MALE",orders[[#This Row],[Customer Gender]]="", "FEMALE",orders[[#This Row],[Customer Gender]]="O", "OTHERS",TRUE,"UNKNOWN")</f>
        <v>OTHERS</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 "MALE",orders[[#This Row],[Customer Gender]]="", "FEMALE",orders[[#This Row],[Customer Gender]]="O", "OTHERS",TRUE,"UNKNOWN")</f>
        <v>UNKNOWN</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 "MALE",orders[[#This Row],[Customer Gender]]="", "FEMALE",orders[[#This Row],[Customer Gender]]="O", "OTHERS",TRUE,"UNKNOWN")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 "MALE",orders[[#This Row],[Customer Gender]]="", "FEMALE",orders[[#This Row],[Customer Gender]]="O", "OTHERS",TRUE,"UNKNOWN")</f>
        <v>UNKNOWN</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 "MALE",orders[[#This Row],[Customer Gender]]="", "FEMALE",orders[[#This Row],[Customer Gender]]="O", "OTHERS",TRUE,"UNKNOWN")</f>
        <v>UNKNOWN</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 "MALE",orders[[#This Row],[Customer Gender]]="", "FEMALE",orders[[#This Row],[Customer Gender]]="O", "OTHERS",TRUE,"UNKNOWN")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 "MALE",orders[[#This Row],[Customer Gender]]="", "FEMALE",orders[[#This Row],[Customer Gender]]="O", "OTHERS",TRUE,"UNKNOWN")</f>
        <v>UNKNOWN</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 "MALE",orders[[#This Row],[Customer Gender]]="", "FEMALE",orders[[#This Row],[Customer Gender]]="O", "OTHERS",TRUE,"UNKNOWN")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 "MALE",orders[[#This Row],[Customer Gender]]="", "FEMALE",orders[[#This Row],[Customer Gender]]="O", "OTHERS",TRUE,"UNKNOWN")</f>
        <v>UNKNOWN</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 "MALE",orders[[#This Row],[Customer Gender]]="", "FEMALE",orders[[#This Row],[Customer Gender]]="O", "OTHERS",TRUE,"UNKNOWN")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 "MALE",orders[[#This Row],[Customer Gender]]="", "FEMALE",orders[[#This Row],[Customer Gender]]="O", "OTHERS",TRUE,"UNKNOWN")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 "MALE",orders[[#This Row],[Customer Gender]]="", "FEMALE",orders[[#This Row],[Customer Gender]]="O", "OTHERS",TRUE,"UNKNOWN")</f>
        <v>UNKNOWN</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 "MALE",orders[[#This Row],[Customer Gender]]="", "FEMALE",orders[[#This Row],[Customer Gender]]="O", "OTHERS",TRUE,"UNKNOWN")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 "MALE",orders[[#This Row],[Customer Gender]]="", "FEMALE",orders[[#This Row],[Customer Gender]]="O", "OTHERS",TRUE,"UNKNOWN")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 "MALE",orders[[#This Row],[Customer Gender]]="", "FEMALE",orders[[#This Row],[Customer Gender]]="O", "OTHERS",TRUE,"UNKNOWN")</f>
        <v>UNKNOWN</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 "MALE",orders[[#This Row],[Customer Gender]]="", "FEMALE",orders[[#This Row],[Customer Gender]]="O", "OTHERS",TRUE,"UNKNOWN")</f>
        <v>FEMALE</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 "MALE",orders[[#This Row],[Customer Gender]]="", "FEMALE",orders[[#This Row],[Customer Gender]]="O", "OTHERS",TRUE,"UNKNOWN")</f>
        <v>UNKNOWN</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 "MALE",orders[[#This Row],[Customer Gender]]="", "FEMALE",orders[[#This Row],[Customer Gender]]="O", "OTHERS",TRUE,"UNKNOWN")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 "MALE",orders[[#This Row],[Customer Gender]]="", "FEMALE",orders[[#This Row],[Customer Gender]]="O", "OTHERS",TRUE,"UNKNOWN")</f>
        <v>FEMALE</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 "MALE",orders[[#This Row],[Customer Gender]]="", "FEMALE",orders[[#This Row],[Customer Gender]]="O", "OTHERS",TRUE,"UNKNOWN")</f>
        <v>UNKNOWN</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 "MALE",orders[[#This Row],[Customer Gender]]="", "FEMALE",orders[[#This Row],[Customer Gender]]="O", "OTHERS",TRUE,"UNKNOWN")</f>
        <v>UNKNOWN</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 "MALE",orders[[#This Row],[Customer Gender]]="", "FEMALE",orders[[#This Row],[Customer Gender]]="O", "OTHERS",TRUE,"UNKNOWN")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 "MALE",orders[[#This Row],[Customer Gender]]="", "FEMALE",orders[[#This Row],[Customer Gender]]="O", "OTHERS",TRUE,"UNKNOWN")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 "MALE",orders[[#This Row],[Customer Gender]]="", "FEMALE",orders[[#This Row],[Customer Gender]]="O", "OTHERS",TRUE,"UNKNOWN")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 "MALE",orders[[#This Row],[Customer Gender]]="", "FEMALE",orders[[#This Row],[Customer Gender]]="O", "OTHERS",TRUE,"UNKNOWN")</f>
        <v>UNKNOWN</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 "MALE",orders[[#This Row],[Customer Gender]]="", "FEMALE",orders[[#This Row],[Customer Gender]]="O", "OTHERS",TRUE,"UNKNOWN")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 "MALE",orders[[#This Row],[Customer Gender]]="", "FEMALE",orders[[#This Row],[Customer Gender]]="O", "OTHERS",TRUE,"UNKNOWN")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 "MALE",orders[[#This Row],[Customer Gender]]="", "FEMALE",orders[[#This Row],[Customer Gender]]="O", "OTHERS",TRUE,"UNKNOWN")</f>
        <v>UNKNOWN</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 "MALE",orders[[#This Row],[Customer Gender]]="", "FEMALE",orders[[#This Row],[Customer Gender]]="O", "OTHERS",TRUE,"UNKNOWN")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 "MALE",orders[[#This Row],[Customer Gender]]="", "FEMALE",orders[[#This Row],[Customer Gender]]="O", "OTHERS",TRUE,"UNKNOWN")</f>
        <v>UNKNOWN</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 "MALE",orders[[#This Row],[Customer Gender]]="", "FEMALE",orders[[#This Row],[Customer Gender]]="O", "OTHERS",TRUE,"UNKNOWN")</f>
        <v>UNKNOWN</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 "MALE",orders[[#This Row],[Customer Gender]]="", "FEMALE",orders[[#This Row],[Customer Gender]]="O", "OTHERS",TRUE,"UNKNOWN")</f>
        <v>UNKNOWN</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 "MALE",orders[[#This Row],[Customer Gender]]="", "FEMALE",orders[[#This Row],[Customer Gender]]="O", "OTHERS",TRUE,"UNKNOWN")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 "MALE",orders[[#This Row],[Customer Gender]]="", "FEMALE",orders[[#This Row],[Customer Gender]]="O", "OTHERS",TRUE,"UNKNOWN")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 "MALE",orders[[#This Row],[Customer Gender]]="", "FEMALE",orders[[#This Row],[Customer Gender]]="O", "OTHERS",TRUE,"UNKNOWN")</f>
        <v>UNKNOWN</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 "MALE",orders[[#This Row],[Customer Gender]]="", "FEMALE",orders[[#This Row],[Customer Gender]]="O", "OTHERS",TRUE,"UNKNOWN")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 "MALE",orders[[#This Row],[Customer Gender]]="", "FEMALE",orders[[#This Row],[Customer Gender]]="O", "OTHERS",TRUE,"UNKNOWN")</f>
        <v>UNKNOWN</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 "MALE",orders[[#This Row],[Customer Gender]]="", "FEMALE",orders[[#This Row],[Customer Gender]]="O", "OTHERS",TRUE,"UNKNOWN")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 "MALE",orders[[#This Row],[Customer Gender]]="", "FEMALE",orders[[#This Row],[Customer Gender]]="O", "OTHERS",TRUE,"UNKNOWN")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 "MALE",orders[[#This Row],[Customer Gender]]="", "FEMALE",orders[[#This Row],[Customer Gender]]="O", "OTHERS",TRUE,"UNKNOWN")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 "MALE",orders[[#This Row],[Customer Gender]]="", "FEMALE",orders[[#This Row],[Customer Gender]]="O", "OTHERS",TRUE,"UNKNOWN")</f>
        <v>UNKNOWN</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 "MALE",orders[[#This Row],[Customer Gender]]="", "FEMALE",orders[[#This Row],[Customer Gender]]="O", "OTHERS",TRUE,"UNKNOWN")</f>
        <v>UNKNOWN</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 "MALE",orders[[#This Row],[Customer Gender]]="", "FEMALE",orders[[#This Row],[Customer Gender]]="O", "OTHERS",TRUE,"UNKNOWN")</f>
        <v>UNKNOWN</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 "MALE",orders[[#This Row],[Customer Gender]]="", "FEMALE",orders[[#This Row],[Customer Gender]]="O", "OTHERS",TRUE,"UNKNOWN")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 "MALE",orders[[#This Row],[Customer Gender]]="", "FEMALE",orders[[#This Row],[Customer Gender]]="O", "OTHERS",TRUE,"UNKNOWN")</f>
        <v>UNKNOWN</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 "MALE",orders[[#This Row],[Customer Gender]]="", "FEMALE",orders[[#This Row],[Customer Gender]]="O", "OTHERS",TRUE,"UNKNOWN")</f>
        <v>FEMALE</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 "MALE",orders[[#This Row],[Customer Gender]]="", "FEMALE",orders[[#This Row],[Customer Gender]]="O", "OTHERS",TRUE,"UNKNOWN")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 "MALE",orders[[#This Row],[Customer Gender]]="", "FEMALE",orders[[#This Row],[Customer Gender]]="O", "OTHERS",TRUE,"UNKNOWN")</f>
        <v>UNKNOWN</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 "MALE",orders[[#This Row],[Customer Gender]]="", "FEMALE",orders[[#This Row],[Customer Gender]]="O", "OTHERS",TRUE,"UNKNOWN")</f>
        <v>UNKNOWN</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 "MALE",orders[[#This Row],[Customer Gender]]="", "FEMALE",orders[[#This Row],[Customer Gender]]="O", "OTHERS",TRUE,"UNKNOWN")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 "MALE",orders[[#This Row],[Customer Gender]]="", "FEMALE",orders[[#This Row],[Customer Gender]]="O", "OTHERS",TRUE,"UNKNOWN")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 "MALE",orders[[#This Row],[Customer Gender]]="", "FEMALE",orders[[#This Row],[Customer Gender]]="O", "OTHERS",TRUE,"UNKNOWN")</f>
        <v>UNKNOWN</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 "MALE",orders[[#This Row],[Customer Gender]]="", "FEMALE",orders[[#This Row],[Customer Gender]]="O", "OTHERS",TRUE,"UNKNOWN")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 "MALE",orders[[#This Row],[Customer Gender]]="", "FEMALE",orders[[#This Row],[Customer Gender]]="O", "OTHERS",TRUE,"UNKNOWN")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 "MALE",orders[[#This Row],[Customer Gender]]="", "FEMALE",orders[[#This Row],[Customer Gender]]="O", "OTHERS",TRUE,"UNKNOWN")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 "MALE",orders[[#This Row],[Customer Gender]]="", "FEMALE",orders[[#This Row],[Customer Gender]]="O", "OTHERS",TRUE,"UNKNOWN")</f>
        <v>OTHERS</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 "MALE",orders[[#This Row],[Customer Gender]]="", "FEMALE",orders[[#This Row],[Customer Gender]]="O", "OTHERS",TRUE,"UNKNOWN")</f>
        <v>UNKNOWN</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 "MALE",orders[[#This Row],[Customer Gender]]="", "FEMALE",orders[[#This Row],[Customer Gender]]="O", "OTHERS",TRUE,"UNKNOWN")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 "MALE",orders[[#This Row],[Customer Gender]]="", "FEMALE",orders[[#This Row],[Customer Gender]]="O", "OTHERS",TRUE,"UNKNOWN")</f>
        <v>OTHERS</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 "MALE",orders[[#This Row],[Customer Gender]]="", "FEMALE",orders[[#This Row],[Customer Gender]]="O", "OTHERS",TRUE,"UNKNOWN")</f>
        <v>UNKNOWN</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 "MALE",orders[[#This Row],[Customer Gender]]="", "FEMALE",orders[[#This Row],[Customer Gender]]="O", "OTHERS",TRUE,"UNKNOWN")</f>
        <v>UNKNOWN</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 "MALE",orders[[#This Row],[Customer Gender]]="", "FEMALE",orders[[#This Row],[Customer Gender]]="O", "OTHERS",TRUE,"UNKNOWN")</f>
        <v>UNKNOWN</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 "MALE",orders[[#This Row],[Customer Gender]]="", "FEMALE",orders[[#This Row],[Customer Gender]]="O", "OTHERS",TRUE,"UNKNOWN")</f>
        <v>UNKNOWN</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 "MALE",orders[[#This Row],[Customer Gender]]="", "FEMALE",orders[[#This Row],[Customer Gender]]="O", "OTHERS",TRUE,"UNKNOWN")</f>
        <v>UNKNOWN</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 "MALE",orders[[#This Row],[Customer Gender]]="", "FEMALE",orders[[#This Row],[Customer Gender]]="O", "OTHERS",TRUE,"UNKNOWN")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 "MALE",orders[[#This Row],[Customer Gender]]="", "FEMALE",orders[[#This Row],[Customer Gender]]="O", "OTHERS",TRUE,"UNKNOWN")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 "MALE",orders[[#This Row],[Customer Gender]]="", "FEMALE",orders[[#This Row],[Customer Gender]]="O", "OTHERS",TRUE,"UNKNOWN")</f>
        <v>FEMALE</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 "MALE",orders[[#This Row],[Customer Gender]]="", "FEMALE",orders[[#This Row],[Customer Gender]]="O", "OTHERS",TRUE,"UNKNOWN")</f>
        <v>UNKNOWN</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 "MALE",orders[[#This Row],[Customer Gender]]="", "FEMALE",orders[[#This Row],[Customer Gender]]="O", "OTHERS",TRUE,"UNKNOWN")</f>
        <v>FEMALE</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 "MALE",orders[[#This Row],[Customer Gender]]="", "FEMALE",orders[[#This Row],[Customer Gender]]="O", "OTHERS",TRUE,"UNKNOWN")</f>
        <v>UNKNOWN</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 "MALE",orders[[#This Row],[Customer Gender]]="", "FEMALE",orders[[#This Row],[Customer Gender]]="O", "OTHERS",TRUE,"UNKNOWN")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 "MALE",orders[[#This Row],[Customer Gender]]="", "FEMALE",orders[[#This Row],[Customer Gender]]="O", "OTHERS",TRUE,"UNKNOWN")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 "MALE",orders[[#This Row],[Customer Gender]]="", "FEMALE",orders[[#This Row],[Customer Gender]]="O", "OTHERS",TRUE,"UNKNOWN")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 "MALE",orders[[#This Row],[Customer Gender]]="", "FEMALE",orders[[#This Row],[Customer Gender]]="O", "OTHERS",TRUE,"UNKNOWN")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 "MALE",orders[[#This Row],[Customer Gender]]="", "FEMALE",orders[[#This Row],[Customer Gender]]="O", "OTHERS",TRUE,"UNKNOWN")</f>
        <v>UNKNOWN</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 "MALE",orders[[#This Row],[Customer Gender]]="", "FEMALE",orders[[#This Row],[Customer Gender]]="O", "OTHERS",TRUE,"UNKNOWN")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 "MALE",orders[[#This Row],[Customer Gender]]="", "FEMALE",orders[[#This Row],[Customer Gender]]="O", "OTHERS",TRUE,"UNKNOWN")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 "MALE",orders[[#This Row],[Customer Gender]]="", "FEMALE",orders[[#This Row],[Customer Gender]]="O", "OTHERS",TRUE,"UNKNOWN")</f>
        <v>UNKNOWN</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 "MALE",orders[[#This Row],[Customer Gender]]="", "FEMALE",orders[[#This Row],[Customer Gender]]="O", "OTHERS",TRUE,"UNKNOWN")</f>
        <v>UNKNOWN</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 "MALE",orders[[#This Row],[Customer Gender]]="", "FEMALE",orders[[#This Row],[Customer Gender]]="O", "OTHERS",TRUE,"UNKNOWN")</f>
        <v>UNKNOWN</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 "MALE",orders[[#This Row],[Customer Gender]]="", "FEMALE",orders[[#This Row],[Customer Gender]]="O", "OTHERS",TRUE,"UNKNOWN")</f>
        <v>UNKNOWN</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 "MALE",orders[[#This Row],[Customer Gender]]="", "FEMALE",orders[[#This Row],[Customer Gender]]="O", "OTHERS",TRUE,"UNKNOWN")</f>
        <v>UNKNOWN</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 "MALE",orders[[#This Row],[Customer Gender]]="", "FEMALE",orders[[#This Row],[Customer Gender]]="O", "OTHERS",TRUE,"UNKNOWN")</f>
        <v>UNKNOWN</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 "MALE",orders[[#This Row],[Customer Gender]]="", "FEMALE",orders[[#This Row],[Customer Gender]]="O", "OTHERS",TRUE,"UNKNOWN")</f>
        <v>UNKNOWN</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 "MALE",orders[[#This Row],[Customer Gender]]="", "FEMALE",orders[[#This Row],[Customer Gender]]="O", "OTHERS",TRUE,"UNKNOWN")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 "MALE",orders[[#This Row],[Customer Gender]]="", "FEMALE",orders[[#This Row],[Customer Gender]]="O", "OTHERS",TRUE,"UNKNOWN")</f>
        <v>UNKNOWN</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 "MALE",orders[[#This Row],[Customer Gender]]="", "FEMALE",orders[[#This Row],[Customer Gender]]="O", "OTHERS",TRUE,"UNKNOWN")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 "MALE",orders[[#This Row],[Customer Gender]]="", "FEMALE",orders[[#This Row],[Customer Gender]]="O", "OTHERS",TRUE,"UNKNOWN")</f>
        <v>FEMALE</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 "MALE",orders[[#This Row],[Customer Gender]]="", "FEMALE",orders[[#This Row],[Customer Gender]]="O", "OTHERS",TRUE,"UNKNOWN")</f>
        <v>UNKNOWN</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 "MALE",orders[[#This Row],[Customer Gender]]="", "FEMALE",orders[[#This Row],[Customer Gender]]="O", "OTHERS",TRUE,"UNKNOWN")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 "MALE",orders[[#This Row],[Customer Gender]]="", "FEMALE",orders[[#This Row],[Customer Gender]]="O", "OTHERS",TRUE,"UNKNOWN")</f>
        <v>UNKNOWN</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 "MALE",orders[[#This Row],[Customer Gender]]="", "FEMALE",orders[[#This Row],[Customer Gender]]="O", "OTHERS",TRUE,"UNKNOWN")</f>
        <v>UNKNOWN</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 "MALE",orders[[#This Row],[Customer Gender]]="", "FEMALE",orders[[#This Row],[Customer Gender]]="O", "OTHERS",TRUE,"UNKNOWN")</f>
        <v>UNKNOWN</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 "MALE",orders[[#This Row],[Customer Gender]]="", "FEMALE",orders[[#This Row],[Customer Gender]]="O", "OTHERS",TRUE,"UNKNOWN")</f>
        <v>UNKNOWN</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 "MALE",orders[[#This Row],[Customer Gender]]="", "FEMALE",orders[[#This Row],[Customer Gender]]="O", "OTHERS",TRUE,"UNKNOWN")</f>
        <v>UNKNOWN</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 "MALE",orders[[#This Row],[Customer Gender]]="", "FEMALE",orders[[#This Row],[Customer Gender]]="O", "OTHERS",TRUE,"UNKNOWN")</f>
        <v>UNKNOWN</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 "MALE",orders[[#This Row],[Customer Gender]]="", "FEMALE",orders[[#This Row],[Customer Gender]]="O", "OTHERS",TRUE,"UNKNOWN")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 "MALE",orders[[#This Row],[Customer Gender]]="", "FEMALE",orders[[#This Row],[Customer Gender]]="O", "OTHERS",TRUE,"UNKNOWN")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 "MALE",orders[[#This Row],[Customer Gender]]="", "FEMALE",orders[[#This Row],[Customer Gender]]="O", "OTHERS",TRUE,"UNKNOWN")</f>
        <v>UNKNOWN</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 "MALE",orders[[#This Row],[Customer Gender]]="", "FEMALE",orders[[#This Row],[Customer Gender]]="O", "OTHERS",TRUE,"UNKNOWN")</f>
        <v>UNKNOWN</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 "MALE",orders[[#This Row],[Customer Gender]]="", "FEMALE",orders[[#This Row],[Customer Gender]]="O", "OTHERS",TRUE,"UNKNOWN")</f>
        <v>UNKNOWN</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 "MALE",orders[[#This Row],[Customer Gender]]="", "FEMALE",orders[[#This Row],[Customer Gender]]="O", "OTHERS",TRUE,"UNKNOWN")</f>
        <v>UNKNOWN</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 "MALE",orders[[#This Row],[Customer Gender]]="", "FEMALE",orders[[#This Row],[Customer Gender]]="O", "OTHERS",TRUE,"UNKNOWN")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 "MALE",orders[[#This Row],[Customer Gender]]="", "FEMALE",orders[[#This Row],[Customer Gender]]="O", "OTHERS",TRUE,"UNKNOWN")</f>
        <v>UNKNOWN</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 "MALE",orders[[#This Row],[Customer Gender]]="", "FEMALE",orders[[#This Row],[Customer Gender]]="O", "OTHERS",TRUE,"UNKNOWN")</f>
        <v>FEMALE</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 "MALE",orders[[#This Row],[Customer Gender]]="", "FEMALE",orders[[#This Row],[Customer Gender]]="O", "OTHERS",TRUE,"UNKNOWN")</f>
        <v>UNKNOWN</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 "MALE",orders[[#This Row],[Customer Gender]]="", "FEMALE",orders[[#This Row],[Customer Gender]]="O", "OTHERS",TRUE,"UNKNOWN")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 "MALE",orders[[#This Row],[Customer Gender]]="", "FEMALE",orders[[#This Row],[Customer Gender]]="O", "OTHERS",TRUE,"UNKNOWN")</f>
        <v>UNKNOWN</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 "MALE",orders[[#This Row],[Customer Gender]]="", "FEMALE",orders[[#This Row],[Customer Gender]]="O", "OTHERS",TRUE,"UNKNOWN")</f>
        <v>UNKNOWN</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 "MALE",orders[[#This Row],[Customer Gender]]="", "FEMALE",orders[[#This Row],[Customer Gender]]="O", "OTHERS",TRUE,"UNKNOWN")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 "MALE",orders[[#This Row],[Customer Gender]]="", "FEMALE",orders[[#This Row],[Customer Gender]]="O", "OTHERS",TRUE,"UNKNOWN")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 "MALE",orders[[#This Row],[Customer Gender]]="", "FEMALE",orders[[#This Row],[Customer Gender]]="O", "OTHERS",TRUE,"UNKNOWN")</f>
        <v>UNKNOWN</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 "MALE",orders[[#This Row],[Customer Gender]]="", "FEMALE",orders[[#This Row],[Customer Gender]]="O", "OTHERS",TRUE,"UNKNOWN")</f>
        <v>UNKNOWN</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 "MALE",orders[[#This Row],[Customer Gender]]="", "FEMALE",orders[[#This Row],[Customer Gender]]="O", "OTHERS",TRUE,"UNKNOWN")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 "MALE",orders[[#This Row],[Customer Gender]]="", "FEMALE",orders[[#This Row],[Customer Gender]]="O", "OTHERS",TRUE,"UNKNOWN")</f>
        <v>UNKNOWN</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 "MALE",orders[[#This Row],[Customer Gender]]="", "FEMALE",orders[[#This Row],[Customer Gender]]="O", "OTHERS",TRUE,"UNKNOWN")</f>
        <v>FEMALE</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 "MALE",orders[[#This Row],[Customer Gender]]="", "FEMALE",orders[[#This Row],[Customer Gender]]="O", "OTHERS",TRUE,"UNKNOWN")</f>
        <v>FEMALE</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 "MALE",orders[[#This Row],[Customer Gender]]="", "FEMALE",orders[[#This Row],[Customer Gender]]="O", "OTHERS",TRUE,"UNKNOWN")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 "MALE",orders[[#This Row],[Customer Gender]]="", "FEMALE",orders[[#This Row],[Customer Gender]]="O", "OTHERS",TRUE,"UNKNOWN")</f>
        <v>UNKNOWN</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 "MALE",orders[[#This Row],[Customer Gender]]="", "FEMALE",orders[[#This Row],[Customer Gender]]="O", "OTHERS",TRUE,"UNKNOWN")</f>
        <v>UNKNOWN</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 "MALE",orders[[#This Row],[Customer Gender]]="", "FEMALE",orders[[#This Row],[Customer Gender]]="O", "OTHERS",TRUE,"UNKNOWN")</f>
        <v>UNKNOWN</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 "MALE",orders[[#This Row],[Customer Gender]]="", "FEMALE",orders[[#This Row],[Customer Gender]]="O", "OTHERS",TRUE,"UNKNOWN")</f>
        <v>UNKNOWN</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 "MALE",orders[[#This Row],[Customer Gender]]="", "FEMALE",orders[[#This Row],[Customer Gender]]="O", "OTHERS",TRUE,"UNKNOWN")</f>
        <v>UNKNOWN</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 "MALE",orders[[#This Row],[Customer Gender]]="", "FEMALE",orders[[#This Row],[Customer Gender]]="O", "OTHERS",TRUE,"UNKNOWN")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 "MALE",orders[[#This Row],[Customer Gender]]="", "FEMALE",orders[[#This Row],[Customer Gender]]="O", "OTHERS",TRUE,"UNKNOWN")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 "MALE",orders[[#This Row],[Customer Gender]]="", "FEMALE",orders[[#This Row],[Customer Gender]]="O", "OTHERS",TRUE,"UNKNOWN")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 "MALE",orders[[#This Row],[Customer Gender]]="", "FEMALE",orders[[#This Row],[Customer Gender]]="O", "OTHERS",TRUE,"UNKNOWN")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 "MALE",orders[[#This Row],[Customer Gender]]="", "FEMALE",orders[[#This Row],[Customer Gender]]="O", "OTHERS",TRUE,"UNKNOWN")</f>
        <v>UNKNOWN</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 "MALE",orders[[#This Row],[Customer Gender]]="", "FEMALE",orders[[#This Row],[Customer Gender]]="O", "OTHERS",TRUE,"UNKNOWN")</f>
        <v>UNKNOWN</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 "MALE",orders[[#This Row],[Customer Gender]]="", "FEMALE",orders[[#This Row],[Customer Gender]]="O", "OTHERS",TRUE,"UNKNOWN")</f>
        <v>UNKNOWN</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 "MALE",orders[[#This Row],[Customer Gender]]="", "FEMALE",orders[[#This Row],[Customer Gender]]="O", "OTHERS",TRUE,"UNKNOWN")</f>
        <v>UNKNOWN</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 "MALE",orders[[#This Row],[Customer Gender]]="", "FEMALE",orders[[#This Row],[Customer Gender]]="O", "OTHERS",TRUE,"UNKNOWN")</f>
        <v>UNKNOWN</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 "MALE",orders[[#This Row],[Customer Gender]]="", "FEMALE",orders[[#This Row],[Customer Gender]]="O", "OTHERS",TRUE,"UNKNOWN")</f>
        <v>UNKNOWN</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 "MALE",orders[[#This Row],[Customer Gender]]="", "FEMALE",orders[[#This Row],[Customer Gender]]="O", "OTHERS",TRUE,"UNKNOWN")</f>
        <v>UNKNOWN</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 "MALE",orders[[#This Row],[Customer Gender]]="", "FEMALE",orders[[#This Row],[Customer Gender]]="O", "OTHERS",TRUE,"UNKNOWN")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 "MALE",orders[[#This Row],[Customer Gender]]="", "FEMALE",orders[[#This Row],[Customer Gender]]="O", "OTHERS",TRUE,"UNKNOWN")</f>
        <v>UNKNOWN</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 "MALE",orders[[#This Row],[Customer Gender]]="", "FEMALE",orders[[#This Row],[Customer Gender]]="O", "OTHERS",TRUE,"UNKNOWN")</f>
        <v>UNKNOWN</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 "MALE",orders[[#This Row],[Customer Gender]]="", "FEMALE",orders[[#This Row],[Customer Gender]]="O", "OTHERS",TRUE,"UNKNOWN")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 "MALE",orders[[#This Row],[Customer Gender]]="", "FEMALE",orders[[#This Row],[Customer Gender]]="O", "OTHERS",TRUE,"UNKNOWN")</f>
        <v>UNKNOWN</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 "MALE",orders[[#This Row],[Customer Gender]]="", "FEMALE",orders[[#This Row],[Customer Gender]]="O", "OTHERS",TRUE,"UNKNOWN")</f>
        <v>UNKNOWN</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 "MALE",orders[[#This Row],[Customer Gender]]="", "FEMALE",orders[[#This Row],[Customer Gender]]="O", "OTHERS",TRUE,"UNKNOWN")</f>
        <v>UNKNOWN</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 "MALE",orders[[#This Row],[Customer Gender]]="", "FEMALE",orders[[#This Row],[Customer Gender]]="O", "OTHERS",TRUE,"UNKNOWN")</f>
        <v>UNKNOWN</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 "MALE",orders[[#This Row],[Customer Gender]]="", "FEMALE",orders[[#This Row],[Customer Gender]]="O", "OTHERS",TRUE,"UNKNOWN")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 "MALE",orders[[#This Row],[Customer Gender]]="", "FEMALE",orders[[#This Row],[Customer Gender]]="O", "OTHERS",TRUE,"UNKNOWN")</f>
        <v>UNKNOWN</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 "MALE",orders[[#This Row],[Customer Gender]]="", "FEMALE",orders[[#This Row],[Customer Gender]]="O", "OTHERS",TRUE,"UNKNOWN")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 "MALE",orders[[#This Row],[Customer Gender]]="", "FEMALE",orders[[#This Row],[Customer Gender]]="O", "OTHERS",TRUE,"UNKNOWN")</f>
        <v>FEMALE</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 "MALE",orders[[#This Row],[Customer Gender]]="", "FEMALE",orders[[#This Row],[Customer Gender]]="O", "OTHERS",TRUE,"UNKNOWN")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 "MALE",orders[[#This Row],[Customer Gender]]="", "FEMALE",orders[[#This Row],[Customer Gender]]="O", "OTHERS",TRUE,"UNKNOWN")</f>
        <v>UNKNOWN</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 "MALE",orders[[#This Row],[Customer Gender]]="", "FEMALE",orders[[#This Row],[Customer Gender]]="O", "OTHERS",TRUE,"UNKNOWN")</f>
        <v>UNKNOWN</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 "MALE",orders[[#This Row],[Customer Gender]]="", "FEMALE",orders[[#This Row],[Customer Gender]]="O", "OTHERS",TRUE,"UNKNOWN")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 "MALE",orders[[#This Row],[Customer Gender]]="", "FEMALE",orders[[#This Row],[Customer Gender]]="O", "OTHERS",TRUE,"UNKNOWN")</f>
        <v>UNKNOWN</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 "MALE",orders[[#This Row],[Customer Gender]]="", "FEMALE",orders[[#This Row],[Customer Gender]]="O", "OTHERS",TRUE,"UNKNOWN")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 "MALE",orders[[#This Row],[Customer Gender]]="", "FEMALE",orders[[#This Row],[Customer Gender]]="O", "OTHERS",TRUE,"UNKNOWN")</f>
        <v>UNKNOWN</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 "MALE",orders[[#This Row],[Customer Gender]]="", "FEMALE",orders[[#This Row],[Customer Gender]]="O", "OTHERS",TRUE,"UNKNOWN")</f>
        <v>UNKNOWN</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 "MALE",orders[[#This Row],[Customer Gender]]="", "FEMALE",orders[[#This Row],[Customer Gender]]="O", "OTHERS",TRUE,"UNKNOWN")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 "MALE",orders[[#This Row],[Customer Gender]]="", "FEMALE",orders[[#This Row],[Customer Gender]]="O", "OTHERS",TRUE,"UNKNOWN")</f>
        <v>UNKNOWN</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 "MALE",orders[[#This Row],[Customer Gender]]="", "FEMALE",orders[[#This Row],[Customer Gender]]="O", "OTHERS",TRUE,"UNKNOWN")</f>
        <v>UNKNOWN</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 "MALE",orders[[#This Row],[Customer Gender]]="", "FEMALE",orders[[#This Row],[Customer Gender]]="O", "OTHERS",TRUE,"UNKNOWN")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 "MALE",orders[[#This Row],[Customer Gender]]="", "FEMALE",orders[[#This Row],[Customer Gender]]="O", "OTHERS",TRUE,"UNKNOWN")</f>
        <v>UNKNOWN</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 "MALE",orders[[#This Row],[Customer Gender]]="", "FEMALE",orders[[#This Row],[Customer Gender]]="O", "OTHERS",TRUE,"UNKNOWN")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 "MALE",orders[[#This Row],[Customer Gender]]="", "FEMALE",orders[[#This Row],[Customer Gender]]="O", "OTHERS",TRUE,"UNKNOWN")</f>
        <v>UNKNOWN</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 "MALE",orders[[#This Row],[Customer Gender]]="", "FEMALE",orders[[#This Row],[Customer Gender]]="O", "OTHERS",TRUE,"UNKNOWN")</f>
        <v>UNKNOWN</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 "MALE",orders[[#This Row],[Customer Gender]]="", "FEMALE",orders[[#This Row],[Customer Gender]]="O", "OTHERS",TRUE,"UNKNOWN")</f>
        <v>UNKNOWN</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 "MALE",orders[[#This Row],[Customer Gender]]="", "FEMALE",orders[[#This Row],[Customer Gender]]="O", "OTHERS",TRUE,"UNKNOWN")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 "MALE",orders[[#This Row],[Customer Gender]]="", "FEMALE",orders[[#This Row],[Customer Gender]]="O", "OTHERS",TRUE,"UNKNOWN")</f>
        <v>UNKNOWN</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 "MALE",orders[[#This Row],[Customer Gender]]="", "FEMALE",orders[[#This Row],[Customer Gender]]="O", "OTHERS",TRUE,"UNKNOWN")</f>
        <v>UNKNOWN</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 "MALE",orders[[#This Row],[Customer Gender]]="", "FEMALE",orders[[#This Row],[Customer Gender]]="O", "OTHERS",TRUE,"UNKNOWN")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 "MALE",orders[[#This Row],[Customer Gender]]="", "FEMALE",orders[[#This Row],[Customer Gender]]="O", "OTHERS",TRUE,"UNKNOWN")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 "MALE",orders[[#This Row],[Customer Gender]]="", "FEMALE",orders[[#This Row],[Customer Gender]]="O", "OTHERS",TRUE,"UNKNOWN")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 "MALE",orders[[#This Row],[Customer Gender]]="", "FEMALE",orders[[#This Row],[Customer Gender]]="O", "OTHERS",TRUE,"UNKNOWN")</f>
        <v>UNKNOWN</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 "MALE",orders[[#This Row],[Customer Gender]]="", "FEMALE",orders[[#This Row],[Customer Gender]]="O", "OTHERS",TRUE,"UNKNOWN")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 "MALE",orders[[#This Row],[Customer Gender]]="", "FEMALE",orders[[#This Row],[Customer Gender]]="O", "OTHERS",TRUE,"UNKNOWN")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 "MALE",orders[[#This Row],[Customer Gender]]="", "FEMALE",orders[[#This Row],[Customer Gender]]="O", "OTHERS",TRUE,"UNKNOWN")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 "MALE",orders[[#This Row],[Customer Gender]]="", "FEMALE",orders[[#This Row],[Customer Gender]]="O", "OTHERS",TRUE,"UNKNOWN")</f>
        <v>UNKNOWN</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 "MALE",orders[[#This Row],[Customer Gender]]="", "FEMALE",orders[[#This Row],[Customer Gender]]="O", "OTHERS",TRUE,"UNKNOWN")</f>
        <v>UNKNOWN</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 "MALE",orders[[#This Row],[Customer Gender]]="", "FEMALE",orders[[#This Row],[Customer Gender]]="O", "OTHERS",TRUE,"UNKNOWN")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 "MALE",orders[[#This Row],[Customer Gender]]="", "FEMALE",orders[[#This Row],[Customer Gender]]="O", "OTHERS",TRUE,"UNKNOWN")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 "MALE",orders[[#This Row],[Customer Gender]]="", "FEMALE",orders[[#This Row],[Customer Gender]]="O", "OTHERS",TRUE,"UNKNOWN")</f>
        <v>OTHERS</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 "MALE",orders[[#This Row],[Customer Gender]]="", "FEMALE",orders[[#This Row],[Customer Gender]]="O", "OTHERS",TRUE,"UNKNOWN")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 "MALE",orders[[#This Row],[Customer Gender]]="", "FEMALE",orders[[#This Row],[Customer Gender]]="O", "OTHERS",TRUE,"UNKNOWN")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 "MALE",orders[[#This Row],[Customer Gender]]="", "FEMALE",orders[[#This Row],[Customer Gender]]="O", "OTHERS",TRUE,"UNKNOWN")</f>
        <v>UNKNOWN</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 "MALE",orders[[#This Row],[Customer Gender]]="", "FEMALE",orders[[#This Row],[Customer Gender]]="O", "OTHERS",TRUE,"UNKNOWN")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 "MALE",orders[[#This Row],[Customer Gender]]="", "FEMALE",orders[[#This Row],[Customer Gender]]="O", "OTHERS",TRUE,"UNKNOWN")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 "MALE",orders[[#This Row],[Customer Gender]]="", "FEMALE",orders[[#This Row],[Customer Gender]]="O", "OTHERS",TRUE,"UNKNOWN")</f>
        <v>UNKNOWN</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 "MALE",orders[[#This Row],[Customer Gender]]="", "FEMALE",orders[[#This Row],[Customer Gender]]="O", "OTHERS",TRUE,"UNKNOWN")</f>
        <v>UNKNOWN</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 "MALE",orders[[#This Row],[Customer Gender]]="", "FEMALE",orders[[#This Row],[Customer Gender]]="O", "OTHERS",TRUE,"UNKNOWN")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 "MALE",orders[[#This Row],[Customer Gender]]="", "FEMALE",orders[[#This Row],[Customer Gender]]="O", "OTHERS",TRUE,"UNKNOWN")</f>
        <v>UNKNOWN</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 "MALE",orders[[#This Row],[Customer Gender]]="", "FEMALE",orders[[#This Row],[Customer Gender]]="O", "OTHERS",TRUE,"UNKNOWN")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 "MALE",orders[[#This Row],[Customer Gender]]="", "FEMALE",orders[[#This Row],[Customer Gender]]="O", "OTHERS",TRUE,"UNKNOWN")</f>
        <v>UNKNOWN</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 "MALE",orders[[#This Row],[Customer Gender]]="", "FEMALE",orders[[#This Row],[Customer Gender]]="O", "OTHERS",TRUE,"UNKNOWN")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 "MALE",orders[[#This Row],[Customer Gender]]="", "FEMALE",orders[[#This Row],[Customer Gender]]="O", "OTHERS",TRUE,"UNKNOWN")</f>
        <v>UNKNOWN</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 "MALE",orders[[#This Row],[Customer Gender]]="", "FEMALE",orders[[#This Row],[Customer Gender]]="O", "OTHERS",TRUE,"UNKNOWN")</f>
        <v>FEMALE</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 "MALE",orders[[#This Row],[Customer Gender]]="", "FEMALE",orders[[#This Row],[Customer Gender]]="O", "OTHERS",TRUE,"UNKNOWN")</f>
        <v>UNKNOWN</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 "MALE",orders[[#This Row],[Customer Gender]]="", "FEMALE",orders[[#This Row],[Customer Gender]]="O", "OTHERS",TRUE,"UNKNOWN")</f>
        <v>UNKNOWN</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 "MALE",orders[[#This Row],[Customer Gender]]="", "FEMALE",orders[[#This Row],[Customer Gender]]="O", "OTHERS",TRUE,"UNKNOWN")</f>
        <v>UNKNOWN</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 "MALE",orders[[#This Row],[Customer Gender]]="", "FEMALE",orders[[#This Row],[Customer Gender]]="O", "OTHERS",TRUE,"UNKNOWN")</f>
        <v>UNKNOWN</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 "MALE",orders[[#This Row],[Customer Gender]]="", "FEMALE",orders[[#This Row],[Customer Gender]]="O", "OTHERS",TRUE,"UNKNOWN")</f>
        <v>UNKNOWN</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 "MALE",orders[[#This Row],[Customer Gender]]="", "FEMALE",orders[[#This Row],[Customer Gender]]="O", "OTHERS",TRUE,"UNKNOWN")</f>
        <v>UNKNOWN</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 "MALE",orders[[#This Row],[Customer Gender]]="", "FEMALE",orders[[#This Row],[Customer Gender]]="O", "OTHERS",TRUE,"UNKNOWN")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 "MALE",orders[[#This Row],[Customer Gender]]="", "FEMALE",orders[[#This Row],[Customer Gender]]="O", "OTHERS",TRUE,"UNKNOWN")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 "MALE",orders[[#This Row],[Customer Gender]]="", "FEMALE",orders[[#This Row],[Customer Gender]]="O", "OTHERS",TRUE,"UNKNOWN")</f>
        <v>UNKNOWN</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 "MALE",orders[[#This Row],[Customer Gender]]="", "FEMALE",orders[[#This Row],[Customer Gender]]="O", "OTHERS",TRUE,"UNKNOWN")</f>
        <v>FEMALE</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 "MALE",orders[[#This Row],[Customer Gender]]="", "FEMALE",orders[[#This Row],[Customer Gender]]="O", "OTHERS",TRUE,"UNKNOWN")</f>
        <v>UNKNOWN</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 "MALE",orders[[#This Row],[Customer Gender]]="", "FEMALE",orders[[#This Row],[Customer Gender]]="O", "OTHERS",TRUE,"UNKNOWN")</f>
        <v>UNKNOWN</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 "MALE",orders[[#This Row],[Customer Gender]]="", "FEMALE",orders[[#This Row],[Customer Gender]]="O", "OTHERS",TRUE,"UNKNOWN")</f>
        <v>UNKNOWN</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 "MALE",orders[[#This Row],[Customer Gender]]="", "FEMALE",orders[[#This Row],[Customer Gender]]="O", "OTHERS",TRUE,"UNKNOWN")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 "MALE",orders[[#This Row],[Customer Gender]]="", "FEMALE",orders[[#This Row],[Customer Gender]]="O", "OTHERS",TRUE,"UNKNOWN")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 "MALE",orders[[#This Row],[Customer Gender]]="", "FEMALE",orders[[#This Row],[Customer Gender]]="O", "OTHERS",TRUE,"UNKNOWN")</f>
        <v>UNKNOWN</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 "MALE",orders[[#This Row],[Customer Gender]]="", "FEMALE",orders[[#This Row],[Customer Gender]]="O", "OTHERS",TRUE,"UNKNOWN")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 "MALE",orders[[#This Row],[Customer Gender]]="", "FEMALE",orders[[#This Row],[Customer Gender]]="O", "OTHERS",TRUE,"UNKNOWN")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 "MALE",orders[[#This Row],[Customer Gender]]="", "FEMALE",orders[[#This Row],[Customer Gender]]="O", "OTHERS",TRUE,"UNKNOWN")</f>
        <v>UNKNOWN</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 "MALE",orders[[#This Row],[Customer Gender]]="", "FEMALE",orders[[#This Row],[Customer Gender]]="O", "OTHERS",TRUE,"UNKNOWN")</f>
        <v>UNKNOWN</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 "MALE",orders[[#This Row],[Customer Gender]]="", "FEMALE",orders[[#This Row],[Customer Gender]]="O", "OTHERS",TRUE,"UNKNOWN")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 "MALE",orders[[#This Row],[Customer Gender]]="", "FEMALE",orders[[#This Row],[Customer Gender]]="O", "OTHERS",TRUE,"UNKNOWN")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 "MALE",orders[[#This Row],[Customer Gender]]="", "FEMALE",orders[[#This Row],[Customer Gender]]="O", "OTHERS",TRUE,"UNKNOWN")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 "MALE",orders[[#This Row],[Customer Gender]]="", "FEMALE",orders[[#This Row],[Customer Gender]]="O", "OTHERS",TRUE,"UNKNOWN")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 "MALE",orders[[#This Row],[Customer Gender]]="", "FEMALE",orders[[#This Row],[Customer Gender]]="O", "OTHERS",TRUE,"UNKNOWN")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 "MALE",orders[[#This Row],[Customer Gender]]="", "FEMALE",orders[[#This Row],[Customer Gender]]="O", "OTHERS",TRUE,"UNKNOWN")</f>
        <v>UNKNOWN</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 "MALE",orders[[#This Row],[Customer Gender]]="", "FEMALE",orders[[#This Row],[Customer Gender]]="O", "OTHERS",TRUE,"UNKNOWN")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 "MALE",orders[[#This Row],[Customer Gender]]="", "FEMALE",orders[[#This Row],[Customer Gender]]="O", "OTHERS",TRUE,"UNKNOWN")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 "MALE",orders[[#This Row],[Customer Gender]]="", "FEMALE",orders[[#This Row],[Customer Gender]]="O", "OTHERS",TRUE,"UNKNOWN")</f>
        <v>UNKNOWN</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 "MALE",orders[[#This Row],[Customer Gender]]="", "FEMALE",orders[[#This Row],[Customer Gender]]="O", "OTHERS",TRUE,"UNKNOWN")</f>
        <v>UNKNOWN</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 "MALE",orders[[#This Row],[Customer Gender]]="", "FEMALE",orders[[#This Row],[Customer Gender]]="O", "OTHERS",TRUE,"UNKNOWN")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 "MALE",orders[[#This Row],[Customer Gender]]="", "FEMALE",orders[[#This Row],[Customer Gender]]="O", "OTHERS",TRUE,"UNKNOWN")</f>
        <v>UNKNOWN</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 "MALE",orders[[#This Row],[Customer Gender]]="", "FEMALE",orders[[#This Row],[Customer Gender]]="O", "OTHERS",TRUE,"UNKNOWN")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 "MALE",orders[[#This Row],[Customer Gender]]="", "FEMALE",orders[[#This Row],[Customer Gender]]="O", "OTHERS",TRUE,"UNKNOWN")</f>
        <v>UNKNOWN</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 "MALE",orders[[#This Row],[Customer Gender]]="", "FEMALE",orders[[#This Row],[Customer Gender]]="O", "OTHERS",TRUE,"UNKNOWN")</f>
        <v>UNKNOWN</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 "MALE",orders[[#This Row],[Customer Gender]]="", "FEMALE",orders[[#This Row],[Customer Gender]]="O", "OTHERS",TRUE,"UNKNOWN")</f>
        <v>UNKNOWN</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 "MALE",orders[[#This Row],[Customer Gender]]="", "FEMALE",orders[[#This Row],[Customer Gender]]="O", "OTHERS",TRUE,"UNKNOWN")</f>
        <v>UNKNOWN</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 "MALE",orders[[#This Row],[Customer Gender]]="", "FEMALE",orders[[#This Row],[Customer Gender]]="O", "OTHERS",TRUE,"UNKNOWN")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 "MALE",orders[[#This Row],[Customer Gender]]="", "FEMALE",orders[[#This Row],[Customer Gender]]="O", "OTHERS",TRUE,"UNKNOWN")</f>
        <v>UNKNOWN</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 "MALE",orders[[#This Row],[Customer Gender]]="", "FEMALE",orders[[#This Row],[Customer Gender]]="O", "OTHERS",TRUE,"UNKNOWN")</f>
        <v>UNKNOWN</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 "MALE",orders[[#This Row],[Customer Gender]]="", "FEMALE",orders[[#This Row],[Customer Gender]]="O", "OTHERS",TRUE,"UNKNOWN")</f>
        <v>UNKNOWN</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 "MALE",orders[[#This Row],[Customer Gender]]="", "FEMALE",orders[[#This Row],[Customer Gender]]="O", "OTHERS",TRUE,"UNKNOWN")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 "MALE",orders[[#This Row],[Customer Gender]]="", "FEMALE",orders[[#This Row],[Customer Gender]]="O", "OTHERS",TRUE,"UNKNOWN")</f>
        <v>UNKNOWN</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 "MALE",orders[[#This Row],[Customer Gender]]="", "FEMALE",orders[[#This Row],[Customer Gender]]="O", "OTHERS",TRUE,"UNKNOWN")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 "MALE",orders[[#This Row],[Customer Gender]]="", "FEMALE",orders[[#This Row],[Customer Gender]]="O", "OTHERS",TRUE,"UNKNOWN")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 "MALE",orders[[#This Row],[Customer Gender]]="", "FEMALE",orders[[#This Row],[Customer Gender]]="O", "OTHERS",TRUE,"UNKNOWN")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 "MALE",orders[[#This Row],[Customer Gender]]="", "FEMALE",orders[[#This Row],[Customer Gender]]="O", "OTHERS",TRUE,"UNKNOWN")</f>
        <v>UNKNOWN</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 "MALE",orders[[#This Row],[Customer Gender]]="", "FEMALE",orders[[#This Row],[Customer Gender]]="O", "OTHERS",TRUE,"UNKNOWN")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 "MALE",orders[[#This Row],[Customer Gender]]="", "FEMALE",orders[[#This Row],[Customer Gender]]="O", "OTHERS",TRUE,"UNKNOWN")</f>
        <v>UNKNOWN</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 "MALE",orders[[#This Row],[Customer Gender]]="", "FEMALE",orders[[#This Row],[Customer Gender]]="O", "OTHERS",TRUE,"UNKNOWN")</f>
        <v>FEMALE</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 "MALE",orders[[#This Row],[Customer Gender]]="", "FEMALE",orders[[#This Row],[Customer Gender]]="O", "OTHERS",TRUE,"UNKNOWN")</f>
        <v>UNKNOWN</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 "MALE",orders[[#This Row],[Customer Gender]]="", "FEMALE",orders[[#This Row],[Customer Gender]]="O", "OTHERS",TRUE,"UNKNOWN")</f>
        <v>UNKNOWN</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 "MALE",orders[[#This Row],[Customer Gender]]="", "FEMALE",orders[[#This Row],[Customer Gender]]="O", "OTHERS",TRUE,"UNKNOWN")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 "MALE",orders[[#This Row],[Customer Gender]]="", "FEMALE",orders[[#This Row],[Customer Gender]]="O", "OTHERS",TRUE,"UNKNOWN")</f>
        <v>OTHERS</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 "MALE",orders[[#This Row],[Customer Gender]]="", "FEMALE",orders[[#This Row],[Customer Gender]]="O", "OTHERS",TRUE,"UNKNOWN")</f>
        <v>FEMALE</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 "MALE",orders[[#This Row],[Customer Gender]]="", "FEMALE",orders[[#This Row],[Customer Gender]]="O", "OTHERS",TRUE,"UNKNOWN")</f>
        <v>UNKNOWN</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 "MALE",orders[[#This Row],[Customer Gender]]="", "FEMALE",orders[[#This Row],[Customer Gender]]="O", "OTHERS",TRUE,"UNKNOWN")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 "MALE",orders[[#This Row],[Customer Gender]]="", "FEMALE",orders[[#This Row],[Customer Gender]]="O", "OTHERS",TRUE,"UNKNOWN")</f>
        <v>UNKNOWN</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 "MALE",orders[[#This Row],[Customer Gender]]="", "FEMALE",orders[[#This Row],[Customer Gender]]="O", "OTHERS",TRUE,"UNKNOWN")</f>
        <v>UNKNOWN</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 "MALE",orders[[#This Row],[Customer Gender]]="", "FEMALE",orders[[#This Row],[Customer Gender]]="O", "OTHERS",TRUE,"UNKNOWN")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 "MALE",orders[[#This Row],[Customer Gender]]="", "FEMALE",orders[[#This Row],[Customer Gender]]="O", "OTHERS",TRUE,"UNKNOWN")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 "MALE",orders[[#This Row],[Customer Gender]]="", "FEMALE",orders[[#This Row],[Customer Gender]]="O", "OTHERS",TRUE,"UNKNOWN")</f>
        <v>UNKNOWN</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 "MALE",orders[[#This Row],[Customer Gender]]="", "FEMALE",orders[[#This Row],[Customer Gender]]="O", "OTHERS",TRUE,"UNKNOWN")</f>
        <v>UNKNOWN</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 "MALE",orders[[#This Row],[Customer Gender]]="", "FEMALE",orders[[#This Row],[Customer Gender]]="O", "OTHERS",TRUE,"UNKNOWN")</f>
        <v>UNKNOWN</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 "MALE",orders[[#This Row],[Customer Gender]]="", "FEMALE",orders[[#This Row],[Customer Gender]]="O", "OTHERS",TRUE,"UNKNOWN")</f>
        <v>UNKNOWN</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 "MALE",orders[[#This Row],[Customer Gender]]="", "FEMALE",orders[[#This Row],[Customer Gender]]="O", "OTHERS",TRUE,"UNKNOWN")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 "MALE",orders[[#This Row],[Customer Gender]]="", "FEMALE",orders[[#This Row],[Customer Gender]]="O", "OTHERS",TRUE,"UNKNOWN")</f>
        <v>UNKNOWN</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 "MALE",orders[[#This Row],[Customer Gender]]="", "FEMALE",orders[[#This Row],[Customer Gender]]="O", "OTHERS",TRUE,"UNKNOWN")</f>
        <v>UNKNOWN</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 "MALE",orders[[#This Row],[Customer Gender]]="", "FEMALE",orders[[#This Row],[Customer Gender]]="O", "OTHERS",TRUE,"UNKNOWN")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 "MALE",orders[[#This Row],[Customer Gender]]="", "FEMALE",orders[[#This Row],[Customer Gender]]="O", "OTHERS",TRUE,"UNKNOWN")</f>
        <v>FEMALE</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 "MALE",orders[[#This Row],[Customer Gender]]="", "FEMALE",orders[[#This Row],[Customer Gender]]="O", "OTHERS",TRUE,"UNKNOWN")</f>
        <v>UNKNOWN</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 "MALE",orders[[#This Row],[Customer Gender]]="", "FEMALE",orders[[#This Row],[Customer Gender]]="O", "OTHERS",TRUE,"UNKNOWN")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 "MALE",orders[[#This Row],[Customer Gender]]="", "FEMALE",orders[[#This Row],[Customer Gender]]="O", "OTHERS",TRUE,"UNKNOWN")</f>
        <v>UNKNOWN</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 "MALE",orders[[#This Row],[Customer Gender]]="", "FEMALE",orders[[#This Row],[Customer Gender]]="O", "OTHERS",TRUE,"UNKNOWN")</f>
        <v>UNKNOWN</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 "MALE",orders[[#This Row],[Customer Gender]]="", "FEMALE",orders[[#This Row],[Customer Gender]]="O", "OTHERS",TRUE,"UNKNOWN")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 "MALE",orders[[#This Row],[Customer Gender]]="", "FEMALE",orders[[#This Row],[Customer Gender]]="O", "OTHERS",TRUE,"UNKNOWN")</f>
        <v>UNKNOWN</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 "MALE",orders[[#This Row],[Customer Gender]]="", "FEMALE",orders[[#This Row],[Customer Gender]]="O", "OTHERS",TRUE,"UNKNOWN")</f>
        <v>UNKNOWN</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 "MALE",orders[[#This Row],[Customer Gender]]="", "FEMALE",orders[[#This Row],[Customer Gender]]="O", "OTHERS",TRUE,"UNKNOWN")</f>
        <v>UNKNOWN</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 "MALE",orders[[#This Row],[Customer Gender]]="", "FEMALE",orders[[#This Row],[Customer Gender]]="O", "OTHERS",TRUE,"UNKNOWN")</f>
        <v>FEMALE</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 "MALE",orders[[#This Row],[Customer Gender]]="", "FEMALE",orders[[#This Row],[Customer Gender]]="O", "OTHERS",TRUE,"UNKNOWN")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 "MALE",orders[[#This Row],[Customer Gender]]="", "FEMALE",orders[[#This Row],[Customer Gender]]="O", "OTHERS",TRUE,"UNKNOWN")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 "MALE",orders[[#This Row],[Customer Gender]]="", "FEMALE",orders[[#This Row],[Customer Gender]]="O", "OTHERS",TRUE,"UNKNOWN")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 "MALE",orders[[#This Row],[Customer Gender]]="", "FEMALE",orders[[#This Row],[Customer Gender]]="O", "OTHERS",TRUE,"UNKNOWN")</f>
        <v>UNKNOWN</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 "MALE",orders[[#This Row],[Customer Gender]]="", "FEMALE",orders[[#This Row],[Customer Gender]]="O", "OTHERS",TRUE,"UNKNOWN")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 "MALE",orders[[#This Row],[Customer Gender]]="", "FEMALE",orders[[#This Row],[Customer Gender]]="O", "OTHERS",TRUE,"UNKNOWN")</f>
        <v>UNKNOWN</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 "MALE",orders[[#This Row],[Customer Gender]]="", "FEMALE",orders[[#This Row],[Customer Gender]]="O", "OTHERS",TRUE,"UNKNOWN")</f>
        <v>UNKNOWN</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 "MALE",orders[[#This Row],[Customer Gender]]="", "FEMALE",orders[[#This Row],[Customer Gender]]="O", "OTHERS",TRUE,"UNKNOWN")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 "MALE",orders[[#This Row],[Customer Gender]]="", "FEMALE",orders[[#This Row],[Customer Gender]]="O", "OTHERS",TRUE,"UNKNOWN")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 "MALE",orders[[#This Row],[Customer Gender]]="", "FEMALE",orders[[#This Row],[Customer Gender]]="O", "OTHERS",TRUE,"UNKNOWN")</f>
        <v>FEMALE</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 "MALE",orders[[#This Row],[Customer Gender]]="", "FEMALE",orders[[#This Row],[Customer Gender]]="O", "OTHERS",TRUE,"UNKNOWN")</f>
        <v>UNKNOWN</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 "MALE",orders[[#This Row],[Customer Gender]]="", "FEMALE",orders[[#This Row],[Customer Gender]]="O", "OTHERS",TRUE,"UNKNOWN")</f>
        <v>UNKNOWN</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 "MALE",orders[[#This Row],[Customer Gender]]="", "FEMALE",orders[[#This Row],[Customer Gender]]="O", "OTHERS",TRUE,"UNKNOWN")</f>
        <v>UNKNOWN</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 "MALE",orders[[#This Row],[Customer Gender]]="", "FEMALE",orders[[#This Row],[Customer Gender]]="O", "OTHERS",TRUE,"UNKNOWN")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 "MALE",orders[[#This Row],[Customer Gender]]="", "FEMALE",orders[[#This Row],[Customer Gender]]="O", "OTHERS",TRUE,"UNKNOWN")</f>
        <v>UNKNOWN</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 "MALE",orders[[#This Row],[Customer Gender]]="", "FEMALE",orders[[#This Row],[Customer Gender]]="O", "OTHERS",TRUE,"UNKNOWN")</f>
        <v>OTHERS</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 "MALE",orders[[#This Row],[Customer Gender]]="", "FEMALE",orders[[#This Row],[Customer Gender]]="O", "OTHERS",TRUE,"UNKNOWN")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 "MALE",orders[[#This Row],[Customer Gender]]="", "FEMALE",orders[[#This Row],[Customer Gender]]="O", "OTHERS",TRUE,"UNKNOWN")</f>
        <v>UNKNOWN</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 "MALE",orders[[#This Row],[Customer Gender]]="", "FEMALE",orders[[#This Row],[Customer Gender]]="O", "OTHERS",TRUE,"UNKNOWN")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 "MALE",orders[[#This Row],[Customer Gender]]="", "FEMALE",orders[[#This Row],[Customer Gender]]="O", "OTHERS",TRUE,"UNKNOWN")</f>
        <v>UNKNOWN</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 "MALE",orders[[#This Row],[Customer Gender]]="", "FEMALE",orders[[#This Row],[Customer Gender]]="O", "OTHERS",TRUE,"UNKNOWN")</f>
        <v>FEMALE</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 "MALE",orders[[#This Row],[Customer Gender]]="", "FEMALE",orders[[#This Row],[Customer Gender]]="O", "OTHERS",TRUE,"UNKNOWN")</f>
        <v>UNKNOWN</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 "MALE",orders[[#This Row],[Customer Gender]]="", "FEMALE",orders[[#This Row],[Customer Gender]]="O", "OTHERS",TRUE,"UNKNOWN")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 "MALE",orders[[#This Row],[Customer Gender]]="", "FEMALE",orders[[#This Row],[Customer Gender]]="O", "OTHERS",TRUE,"UNKNOWN")</f>
        <v>UNKNOWN</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 "MALE",orders[[#This Row],[Customer Gender]]="", "FEMALE",orders[[#This Row],[Customer Gender]]="O", "OTHERS",TRUE,"UNKNOWN")</f>
        <v>UNKNOWN</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 "MALE",orders[[#This Row],[Customer Gender]]="", "FEMALE",orders[[#This Row],[Customer Gender]]="O", "OTHERS",TRUE,"UNKNOWN")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 "MALE",orders[[#This Row],[Customer Gender]]="", "FEMALE",orders[[#This Row],[Customer Gender]]="O", "OTHERS",TRUE,"UNKNOWN")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 "MALE",orders[[#This Row],[Customer Gender]]="", "FEMALE",orders[[#This Row],[Customer Gender]]="O", "OTHERS",TRUE,"UNKNOWN")</f>
        <v>FEMALE</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 "MALE",orders[[#This Row],[Customer Gender]]="", "FEMALE",orders[[#This Row],[Customer Gender]]="O", "OTHERS",TRUE,"UNKNOWN")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 "MALE",orders[[#This Row],[Customer Gender]]="", "FEMALE",orders[[#This Row],[Customer Gender]]="O", "OTHERS",TRUE,"UNKNOWN")</f>
        <v>UNKNOWN</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 "MALE",orders[[#This Row],[Customer Gender]]="", "FEMALE",orders[[#This Row],[Customer Gender]]="O", "OTHERS",TRUE,"UNKNOWN")</f>
        <v>OTHERS</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 "MALE",orders[[#This Row],[Customer Gender]]="", "FEMALE",orders[[#This Row],[Customer Gender]]="O", "OTHERS",TRUE,"UNKNOWN")</f>
        <v>UNKNOWN</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 "MALE",orders[[#This Row],[Customer Gender]]="", "FEMALE",orders[[#This Row],[Customer Gender]]="O", "OTHERS",TRUE,"UNKNOWN")</f>
        <v>UNKNOWN</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 "MALE",orders[[#This Row],[Customer Gender]]="", "FEMALE",orders[[#This Row],[Customer Gender]]="O", "OTHERS",TRUE,"UNKNOWN")</f>
        <v>UNKNOWN</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 "MALE",orders[[#This Row],[Customer Gender]]="", "FEMALE",orders[[#This Row],[Customer Gender]]="O", "OTHERS",TRUE,"UNKNOWN")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 "MALE",orders[[#This Row],[Customer Gender]]="", "FEMALE",orders[[#This Row],[Customer Gender]]="O", "OTHERS",TRUE,"UNKNOWN")</f>
        <v>OTHERS</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 "MALE",orders[[#This Row],[Customer Gender]]="", "FEMALE",orders[[#This Row],[Customer Gender]]="O", "OTHERS",TRUE,"UNKNOWN")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 "MALE",orders[[#This Row],[Customer Gender]]="", "FEMALE",orders[[#This Row],[Customer Gender]]="O", "OTHERS",TRUE,"UNKNOWN")</f>
        <v>UNKNOWN</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 "MALE",orders[[#This Row],[Customer Gender]]="", "FEMALE",orders[[#This Row],[Customer Gender]]="O", "OTHERS",TRUE,"UNKNOWN")</f>
        <v>UNKNOWN</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 "MALE",orders[[#This Row],[Customer Gender]]="", "FEMALE",orders[[#This Row],[Customer Gender]]="O", "OTHERS",TRUE,"UNKNOWN")</f>
        <v>FEMALE</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 "MALE",orders[[#This Row],[Customer Gender]]="", "FEMALE",orders[[#This Row],[Customer Gender]]="O", "OTHERS",TRUE,"UNKNOWN")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 "MALE",orders[[#This Row],[Customer Gender]]="", "FEMALE",orders[[#This Row],[Customer Gender]]="O", "OTHERS",TRUE,"UNKNOWN")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 "MALE",orders[[#This Row],[Customer Gender]]="", "FEMALE",orders[[#This Row],[Customer Gender]]="O", "OTHERS",TRUE,"UNKNOWN")</f>
        <v>UNKNOWN</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 "MALE",orders[[#This Row],[Customer Gender]]="", "FEMALE",orders[[#This Row],[Customer Gender]]="O", "OTHERS",TRUE,"UNKNOWN")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 "MALE",orders[[#This Row],[Customer Gender]]="", "FEMALE",orders[[#This Row],[Customer Gender]]="O", "OTHERS",TRUE,"UNKNOWN")</f>
        <v>UNKNOWN</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 "MALE",orders[[#This Row],[Customer Gender]]="", "FEMALE",orders[[#This Row],[Customer Gender]]="O", "OTHERS",TRUE,"UNKNOWN")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 "MALE",orders[[#This Row],[Customer Gender]]="", "FEMALE",orders[[#This Row],[Customer Gender]]="O", "OTHERS",TRUE,"UNKNOWN")</f>
        <v>UNKNOWN</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 "MALE",orders[[#This Row],[Customer Gender]]="", "FEMALE",orders[[#This Row],[Customer Gender]]="O", "OTHERS",TRUE,"UNKNOWN")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 "MALE",orders[[#This Row],[Customer Gender]]="", "FEMALE",orders[[#This Row],[Customer Gender]]="O", "OTHERS",TRUE,"UNKNOWN")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 "MALE",orders[[#This Row],[Customer Gender]]="", "FEMALE",orders[[#This Row],[Customer Gender]]="O", "OTHERS",TRUE,"UNKNOWN")</f>
        <v>OTHERS</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 "MALE",orders[[#This Row],[Customer Gender]]="", "FEMALE",orders[[#This Row],[Customer Gender]]="O", "OTHERS",TRUE,"UNKNOWN")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 "MALE",orders[[#This Row],[Customer Gender]]="", "FEMALE",orders[[#This Row],[Customer Gender]]="O", "OTHERS",TRUE,"UNKNOWN")</f>
        <v>UNKNOWN</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 "MALE",orders[[#This Row],[Customer Gender]]="", "FEMALE",orders[[#This Row],[Customer Gender]]="O", "OTHERS",TRUE,"UNKNOWN")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 "MALE",orders[[#This Row],[Customer Gender]]="", "FEMALE",orders[[#This Row],[Customer Gender]]="O", "OTHERS",TRUE,"UNKNOWN")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 "MALE",orders[[#This Row],[Customer Gender]]="", "FEMALE",orders[[#This Row],[Customer Gender]]="O", "OTHERS",TRUE,"UNKNOWN")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 "MALE",orders[[#This Row],[Customer Gender]]="", "FEMALE",orders[[#This Row],[Customer Gender]]="O", "OTHERS",TRUE,"UNKNOWN")</f>
        <v>UNKNOWN</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 "MALE",orders[[#This Row],[Customer Gender]]="", "FEMALE",orders[[#This Row],[Customer Gender]]="O", "OTHERS",TRUE,"UNKNOWN")</f>
        <v>UNKNOWN</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 "MALE",orders[[#This Row],[Customer Gender]]="", "FEMALE",orders[[#This Row],[Customer Gender]]="O", "OTHERS",TRUE,"UNKNOWN")</f>
        <v>OTHERS</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 "MALE",orders[[#This Row],[Customer Gender]]="", "FEMALE",orders[[#This Row],[Customer Gender]]="O", "OTHERS",TRUE,"UNKNOWN")</f>
        <v>UNKNOWN</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 "MALE",orders[[#This Row],[Customer Gender]]="", "FEMALE",orders[[#This Row],[Customer Gender]]="O", "OTHERS",TRUE,"UNKNOWN")</f>
        <v>UNKNOWN</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 "MALE",orders[[#This Row],[Customer Gender]]="", "FEMALE",orders[[#This Row],[Customer Gender]]="O", "OTHERS",TRUE,"UNKNOWN")</f>
        <v>UNKNOWN</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 "MALE",orders[[#This Row],[Customer Gender]]="", "FEMALE",orders[[#This Row],[Customer Gender]]="O", "OTHERS",TRUE,"UNKNOWN")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 "MALE",orders[[#This Row],[Customer Gender]]="", "FEMALE",orders[[#This Row],[Customer Gender]]="O", "OTHERS",TRUE,"UNKNOWN")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 "MALE",orders[[#This Row],[Customer Gender]]="", "FEMALE",orders[[#This Row],[Customer Gender]]="O", "OTHERS",TRUE,"UNKNOWN")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 "MALE",orders[[#This Row],[Customer Gender]]="", "FEMALE",orders[[#This Row],[Customer Gender]]="O", "OTHERS",TRUE,"UNKNOWN")</f>
        <v>UNKNOWN</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 "MALE",orders[[#This Row],[Customer Gender]]="", "FEMALE",orders[[#This Row],[Customer Gender]]="O", "OTHERS",TRUE,"UNKNOWN")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 "MALE",orders[[#This Row],[Customer Gender]]="", "FEMALE",orders[[#This Row],[Customer Gender]]="O", "OTHERS",TRUE,"UNKNOWN")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 "MALE",orders[[#This Row],[Customer Gender]]="", "FEMALE",orders[[#This Row],[Customer Gender]]="O", "OTHERS",TRUE,"UNKNOWN")</f>
        <v>UNKNOWN</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 "MALE",orders[[#This Row],[Customer Gender]]="", "FEMALE",orders[[#This Row],[Customer Gender]]="O", "OTHERS",TRUE,"UNKNOWN")</f>
        <v>FEMALE</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 "MALE",orders[[#This Row],[Customer Gender]]="", "FEMALE",orders[[#This Row],[Customer Gender]]="O", "OTHERS",TRUE,"UNKNOWN")</f>
        <v>UNKNOWN</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 "MALE",orders[[#This Row],[Customer Gender]]="", "FEMALE",orders[[#This Row],[Customer Gender]]="O", "OTHERS",TRUE,"UNKNOWN")</f>
        <v>OTHERS</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 "MALE",orders[[#This Row],[Customer Gender]]="", "FEMALE",orders[[#This Row],[Customer Gender]]="O", "OTHERS",TRUE,"UNKNOWN")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 "MALE",orders[[#This Row],[Customer Gender]]="", "FEMALE",orders[[#This Row],[Customer Gender]]="O", "OTHERS",TRUE,"UNKNOWN")</f>
        <v>UNKNOWN</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 "MALE",orders[[#This Row],[Customer Gender]]="", "FEMALE",orders[[#This Row],[Customer Gender]]="O", "OTHERS",TRUE,"UNKNOWN")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 "MALE",orders[[#This Row],[Customer Gender]]="", "FEMALE",orders[[#This Row],[Customer Gender]]="O", "OTHERS",TRUE,"UNKNOWN")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 "MALE",orders[[#This Row],[Customer Gender]]="", "FEMALE",orders[[#This Row],[Customer Gender]]="O", "OTHERS",TRUE,"UNKNOWN")</f>
        <v>UNKNOWN</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 "MALE",orders[[#This Row],[Customer Gender]]="", "FEMALE",orders[[#This Row],[Customer Gender]]="O", "OTHERS",TRUE,"UNKNOWN")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 "MALE",orders[[#This Row],[Customer Gender]]="", "FEMALE",orders[[#This Row],[Customer Gender]]="O", "OTHERS",TRUE,"UNKNOWN")</f>
        <v>OTHERS</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 "MALE",orders[[#This Row],[Customer Gender]]="", "FEMALE",orders[[#This Row],[Customer Gender]]="O", "OTHERS",TRUE,"UNKNOWN")</f>
        <v>UNKNOWN</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 "MALE",orders[[#This Row],[Customer Gender]]="", "FEMALE",orders[[#This Row],[Customer Gender]]="O", "OTHERS",TRUE,"UNKNOWN")</f>
        <v>UNKNOWN</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 "MALE",orders[[#This Row],[Customer Gender]]="", "FEMALE",orders[[#This Row],[Customer Gender]]="O", "OTHERS",TRUE,"UNKNOWN")</f>
        <v>UNKNOWN</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 "MALE",orders[[#This Row],[Customer Gender]]="", "FEMALE",orders[[#This Row],[Customer Gender]]="O", "OTHERS",TRUE,"UNKNOWN")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 "MALE",orders[[#This Row],[Customer Gender]]="", "FEMALE",orders[[#This Row],[Customer Gender]]="O", "OTHERS",TRUE,"UNKNOWN")</f>
        <v>UNKNOWN</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 "MALE",orders[[#This Row],[Customer Gender]]="", "FEMALE",orders[[#This Row],[Customer Gender]]="O", "OTHERS",TRUE,"UNKNOWN")</f>
        <v>UNKNOWN</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 "MALE",orders[[#This Row],[Customer Gender]]="", "FEMALE",orders[[#This Row],[Customer Gender]]="O", "OTHERS",TRUE,"UNKNOWN")</f>
        <v>UNKNOWN</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 "MALE",orders[[#This Row],[Customer Gender]]="", "FEMALE",orders[[#This Row],[Customer Gender]]="O", "OTHERS",TRUE,"UNKNOWN")</f>
        <v>UNKNOWN</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 "MALE",orders[[#This Row],[Customer Gender]]="", "FEMALE",orders[[#This Row],[Customer Gender]]="O", "OTHERS",TRUE,"UNKNOWN")</f>
        <v>UNKNOWN</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 "MALE",orders[[#This Row],[Customer Gender]]="", "FEMALE",orders[[#This Row],[Customer Gender]]="O", "OTHERS",TRUE,"UNKNOWN")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 "MALE",orders[[#This Row],[Customer Gender]]="", "FEMALE",orders[[#This Row],[Customer Gender]]="O", "OTHERS",TRUE,"UNKNOWN")</f>
        <v>UNKNOWN</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 "MALE",orders[[#This Row],[Customer Gender]]="", "FEMALE",orders[[#This Row],[Customer Gender]]="O", "OTHERS",TRUE,"UNKNOWN")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 "MALE",orders[[#This Row],[Customer Gender]]="", "FEMALE",orders[[#This Row],[Customer Gender]]="O", "OTHERS",TRUE,"UNKNOWN")</f>
        <v>UNKNOWN</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 "MALE",orders[[#This Row],[Customer Gender]]="", "FEMALE",orders[[#This Row],[Customer Gender]]="O", "OTHERS",TRUE,"UNKNOWN")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 "MALE",orders[[#This Row],[Customer Gender]]="", "FEMALE",orders[[#This Row],[Customer Gender]]="O", "OTHERS",TRUE,"UNKNOWN")</f>
        <v>UNKNOWN</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 "MALE",orders[[#This Row],[Customer Gender]]="", "FEMALE",orders[[#This Row],[Customer Gender]]="O", "OTHERS",TRUE,"UNKNOWN")</f>
        <v>UNKNOWN</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 "MALE",orders[[#This Row],[Customer Gender]]="", "FEMALE",orders[[#This Row],[Customer Gender]]="O", "OTHERS",TRUE,"UNKNOWN")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 "MALE",orders[[#This Row],[Customer Gender]]="", "FEMALE",orders[[#This Row],[Customer Gender]]="O", "OTHERS",TRUE,"UNKNOWN")</f>
        <v>UNKNOWN</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 "MALE",orders[[#This Row],[Customer Gender]]="", "FEMALE",orders[[#This Row],[Customer Gender]]="O", "OTHERS",TRUE,"UNKNOWN")</f>
        <v>OTHERS</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 "MALE",orders[[#This Row],[Customer Gender]]="", "FEMALE",orders[[#This Row],[Customer Gender]]="O", "OTHERS",TRUE,"UNKNOWN")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 "MALE",orders[[#This Row],[Customer Gender]]="", "FEMALE",orders[[#This Row],[Customer Gender]]="O", "OTHERS",TRUE,"UNKNOWN")</f>
        <v>UNKNOWN</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 "MALE",orders[[#This Row],[Customer Gender]]="", "FEMALE",orders[[#This Row],[Customer Gender]]="O", "OTHERS",TRUE,"UNKNOWN")</f>
        <v>UNKNOWN</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 "MALE",orders[[#This Row],[Customer Gender]]="", "FEMALE",orders[[#This Row],[Customer Gender]]="O", "OTHERS",TRUE,"UNKNOWN")</f>
        <v>UNKNOWN</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 "MALE",orders[[#This Row],[Customer Gender]]="", "FEMALE",orders[[#This Row],[Customer Gender]]="O", "OTHERS",TRUE,"UNKNOWN")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 "MALE",orders[[#This Row],[Customer Gender]]="", "FEMALE",orders[[#This Row],[Customer Gender]]="O", "OTHERS",TRUE,"UNKNOWN")</f>
        <v>UNKNOWN</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 "MALE",orders[[#This Row],[Customer Gender]]="", "FEMALE",orders[[#This Row],[Customer Gender]]="O", "OTHERS",TRUE,"UNKNOWN")</f>
        <v>UNKNOWN</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 "MALE",orders[[#This Row],[Customer Gender]]="", "FEMALE",orders[[#This Row],[Customer Gender]]="O", "OTHERS",TRUE,"UNKNOWN")</f>
        <v>FEMALE</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 "MALE",orders[[#This Row],[Customer Gender]]="", "FEMALE",orders[[#This Row],[Customer Gender]]="O", "OTHERS",TRUE,"UNKNOWN")</f>
        <v>UNKNOWN</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 "MALE",orders[[#This Row],[Customer Gender]]="", "FEMALE",orders[[#This Row],[Customer Gender]]="O", "OTHERS",TRUE,"UNKNOWN")</f>
        <v>UNKNOWN</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 "MALE",orders[[#This Row],[Customer Gender]]="", "FEMALE",orders[[#This Row],[Customer Gender]]="O", "OTHERS",TRUE,"UNKNOWN")</f>
        <v>UNKNOWN</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 "MALE",orders[[#This Row],[Customer Gender]]="", "FEMALE",orders[[#This Row],[Customer Gender]]="O", "OTHERS",TRUE,"UNKNOWN")</f>
        <v>UNKNOWN</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 "MALE",orders[[#This Row],[Customer Gender]]="", "FEMALE",orders[[#This Row],[Customer Gender]]="O", "OTHERS",TRUE,"UNKNOWN")</f>
        <v>UNKNOWN</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 "MALE",orders[[#This Row],[Customer Gender]]="", "FEMALE",orders[[#This Row],[Customer Gender]]="O", "OTHERS",TRUE,"UNKNOWN")</f>
        <v>UNKNOWN</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 "MALE",orders[[#This Row],[Customer Gender]]="", "FEMALE",orders[[#This Row],[Customer Gender]]="O", "OTHERS",TRUE,"UNKNOWN")</f>
        <v>UNKNOWN</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 "MALE",orders[[#This Row],[Customer Gender]]="", "FEMALE",orders[[#This Row],[Customer Gender]]="O", "OTHERS",TRUE,"UNKNOWN")</f>
        <v>UNKNOWN</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 "MALE",orders[[#This Row],[Customer Gender]]="", "FEMALE",orders[[#This Row],[Customer Gender]]="O", "OTHERS",TRUE,"UNKNOWN")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 "MALE",orders[[#This Row],[Customer Gender]]="", "FEMALE",orders[[#This Row],[Customer Gender]]="O", "OTHERS",TRUE,"UNKNOWN")</f>
        <v>UNKNOWN</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 "MALE",orders[[#This Row],[Customer Gender]]="", "FEMALE",orders[[#This Row],[Customer Gender]]="O", "OTHERS",TRUE,"UNKNOWN")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 "MALE",orders[[#This Row],[Customer Gender]]="", "FEMALE",orders[[#This Row],[Customer Gender]]="O", "OTHERS",TRUE,"UNKNOWN")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 "MALE",orders[[#This Row],[Customer Gender]]="", "FEMALE",orders[[#This Row],[Customer Gender]]="O", "OTHERS",TRUE,"UNKNOWN")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 "MALE",orders[[#This Row],[Customer Gender]]="", "FEMALE",orders[[#This Row],[Customer Gender]]="O", "OTHERS",TRUE,"UNKNOWN")</f>
        <v>FEMALE</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 "MALE",orders[[#This Row],[Customer Gender]]="", "FEMALE",orders[[#This Row],[Customer Gender]]="O", "OTHERS",TRUE,"UNKNOWN")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 "MALE",orders[[#This Row],[Customer Gender]]="", "FEMALE",orders[[#This Row],[Customer Gender]]="O", "OTHERS",TRUE,"UNKNOWN")</f>
        <v>UNKNOWN</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 "MALE",orders[[#This Row],[Customer Gender]]="", "FEMALE",orders[[#This Row],[Customer Gender]]="O", "OTHERS",TRUE,"UNKNOWN")</f>
        <v>UNKNOWN</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 "MALE",orders[[#This Row],[Customer Gender]]="", "FEMALE",orders[[#This Row],[Customer Gender]]="O", "OTHERS",TRUE,"UNKNOWN")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 "MALE",orders[[#This Row],[Customer Gender]]="", "FEMALE",orders[[#This Row],[Customer Gender]]="O", "OTHERS",TRUE,"UNKNOWN")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 "MALE",orders[[#This Row],[Customer Gender]]="", "FEMALE",orders[[#This Row],[Customer Gender]]="O", "OTHERS",TRUE,"UNKNOWN")</f>
        <v>UNKNOWN</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 "MALE",orders[[#This Row],[Customer Gender]]="", "FEMALE",orders[[#This Row],[Customer Gender]]="O", "OTHERS",TRUE,"UNKNOWN")</f>
        <v>OTHERS</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 "MALE",orders[[#This Row],[Customer Gender]]="", "FEMALE",orders[[#This Row],[Customer Gender]]="O", "OTHERS",TRUE,"UNKNOWN")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 "MALE",orders[[#This Row],[Customer Gender]]="", "FEMALE",orders[[#This Row],[Customer Gender]]="O", "OTHERS",TRUE,"UNKNOWN")</f>
        <v>FEMALE</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 "MALE",orders[[#This Row],[Customer Gender]]="", "FEMALE",orders[[#This Row],[Customer Gender]]="O", "OTHERS",TRUE,"UNKNOWN")</f>
        <v>UNKNOWN</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 "MALE",orders[[#This Row],[Customer Gender]]="", "FEMALE",orders[[#This Row],[Customer Gender]]="O", "OTHERS",TRUE,"UNKNOWN")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 "MALE",orders[[#This Row],[Customer Gender]]="", "FEMALE",orders[[#This Row],[Customer Gender]]="O", "OTHERS",TRUE,"UNKNOWN")</f>
        <v>UNKNOWN</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 "MALE",orders[[#This Row],[Customer Gender]]="", "FEMALE",orders[[#This Row],[Customer Gender]]="O", "OTHERS",TRUE,"UNKNOWN")</f>
        <v>UNKNOWN</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 "MALE",orders[[#This Row],[Customer Gender]]="", "FEMALE",orders[[#This Row],[Customer Gender]]="O", "OTHERS",TRUE,"UNKNOWN")</f>
        <v>UNKNOWN</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 "MALE",orders[[#This Row],[Customer Gender]]="", "FEMALE",orders[[#This Row],[Customer Gender]]="O", "OTHERS",TRUE,"UNKNOWN")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 "MALE",orders[[#This Row],[Customer Gender]]="", "FEMALE",orders[[#This Row],[Customer Gender]]="O", "OTHERS",TRUE,"UNKNOWN")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 "MALE",orders[[#This Row],[Customer Gender]]="", "FEMALE",orders[[#This Row],[Customer Gender]]="O", "OTHERS",TRUE,"UNKNOWN")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 "MALE",orders[[#This Row],[Customer Gender]]="", "FEMALE",orders[[#This Row],[Customer Gender]]="O", "OTHERS",TRUE,"UNKNOWN")</f>
        <v>UNKNOWN</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 "MALE",orders[[#This Row],[Customer Gender]]="", "FEMALE",orders[[#This Row],[Customer Gender]]="O", "OTHERS",TRUE,"UNKNOWN")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 "MALE",orders[[#This Row],[Customer Gender]]="", "FEMALE",orders[[#This Row],[Customer Gender]]="O", "OTHERS",TRUE,"UNKNOWN")</f>
        <v>UNKNOWN</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 "MALE",orders[[#This Row],[Customer Gender]]="", "FEMALE",orders[[#This Row],[Customer Gender]]="O", "OTHERS",TRUE,"UNKNOWN")</f>
        <v>UNKNOWN</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 "MALE",orders[[#This Row],[Customer Gender]]="", "FEMALE",orders[[#This Row],[Customer Gender]]="O", "OTHERS",TRUE,"UNKNOWN")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 "MALE",orders[[#This Row],[Customer Gender]]="", "FEMALE",orders[[#This Row],[Customer Gender]]="O", "OTHERS",TRUE,"UNKNOWN")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 "MALE",orders[[#This Row],[Customer Gender]]="", "FEMALE",orders[[#This Row],[Customer Gender]]="O", "OTHERS",TRUE,"UNKNOWN")</f>
        <v>FEMALE</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 "MALE",orders[[#This Row],[Customer Gender]]="", "FEMALE",orders[[#This Row],[Customer Gender]]="O", "OTHERS",TRUE,"UNKNOWN")</f>
        <v>UNKNOWN</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 "MALE",orders[[#This Row],[Customer Gender]]="", "FEMALE",orders[[#This Row],[Customer Gender]]="O", "OTHERS",TRUE,"UNKNOWN")</f>
        <v>UNKNOWN</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 "MALE",orders[[#This Row],[Customer Gender]]="", "FEMALE",orders[[#This Row],[Customer Gender]]="O", "OTHERS",TRUE,"UNKNOWN")</f>
        <v>UNKNOWN</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 "MALE",orders[[#This Row],[Customer Gender]]="", "FEMALE",orders[[#This Row],[Customer Gender]]="O", "OTHERS",TRUE,"UNKNOWN")</f>
        <v>UNKNOWN</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 "MALE",orders[[#This Row],[Customer Gender]]="", "FEMALE",orders[[#This Row],[Customer Gender]]="O", "OTHERS",TRUE,"UNKNOWN")</f>
        <v>UNKNOWN</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 "MALE",orders[[#This Row],[Customer Gender]]="", "FEMALE",orders[[#This Row],[Customer Gender]]="O", "OTHERS",TRUE,"UNKNOWN")</f>
        <v>UNKNOWN</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 "MALE",orders[[#This Row],[Customer Gender]]="", "FEMALE",orders[[#This Row],[Customer Gender]]="O", "OTHERS",TRUE,"UNKNOWN")</f>
        <v>UNKNOWN</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 "MALE",orders[[#This Row],[Customer Gender]]="", "FEMALE",orders[[#This Row],[Customer Gender]]="O", "OTHERS",TRUE,"UNKNOWN")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 "MALE",orders[[#This Row],[Customer Gender]]="", "FEMALE",orders[[#This Row],[Customer Gender]]="O", "OTHERS",TRUE,"UNKNOWN")</f>
        <v>UNKNOWN</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 "MALE",orders[[#This Row],[Customer Gender]]="", "FEMALE",orders[[#This Row],[Customer Gender]]="O", "OTHERS",TRUE,"UNKNOWN")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 "MALE",orders[[#This Row],[Customer Gender]]="", "FEMALE",orders[[#This Row],[Customer Gender]]="O", "OTHERS",TRUE,"UNKNOWN")</f>
        <v>OTHERS</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 "MALE",orders[[#This Row],[Customer Gender]]="", "FEMALE",orders[[#This Row],[Customer Gender]]="O", "OTHERS",TRUE,"UNKNOWN")</f>
        <v>FEMALE</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 "MALE",orders[[#This Row],[Customer Gender]]="", "FEMALE",orders[[#This Row],[Customer Gender]]="O", "OTHERS",TRUE,"UNKNOWN")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 "MALE",orders[[#This Row],[Customer Gender]]="", "FEMALE",orders[[#This Row],[Customer Gender]]="O", "OTHERS",TRUE,"UNKNOWN")</f>
        <v>UNKNOWN</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 "MALE",orders[[#This Row],[Customer Gender]]="", "FEMALE",orders[[#This Row],[Customer Gender]]="O", "OTHERS",TRUE,"UNKNOWN")</f>
        <v>UNKNOWN</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 "MALE",orders[[#This Row],[Customer Gender]]="", "FEMALE",orders[[#This Row],[Customer Gender]]="O", "OTHERS",TRUE,"UNKNOWN")</f>
        <v>UNKNOWN</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 "MALE",orders[[#This Row],[Customer Gender]]="", "FEMALE",orders[[#This Row],[Customer Gender]]="O", "OTHERS",TRUE,"UNKNOWN")</f>
        <v>UNKNOWN</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 "MALE",orders[[#This Row],[Customer Gender]]="", "FEMALE",orders[[#This Row],[Customer Gender]]="O", "OTHERS",TRUE,"UNKNOWN")</f>
        <v>UNKNOWN</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 "MALE",orders[[#This Row],[Customer Gender]]="", "FEMALE",orders[[#This Row],[Customer Gender]]="O", "OTHERS",TRUE,"UNKNOWN")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 "MALE",orders[[#This Row],[Customer Gender]]="", "FEMALE",orders[[#This Row],[Customer Gender]]="O", "OTHERS",TRUE,"UNKNOWN")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 "MALE",orders[[#This Row],[Customer Gender]]="", "FEMALE",orders[[#This Row],[Customer Gender]]="O", "OTHERS",TRUE,"UNKNOWN")</f>
        <v>UNKNOWN</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 "MALE",orders[[#This Row],[Customer Gender]]="", "FEMALE",orders[[#This Row],[Customer Gender]]="O", "OTHERS",TRUE,"UNKNOWN")</f>
        <v>UNKNOWN</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 "MALE",orders[[#This Row],[Customer Gender]]="", "FEMALE",orders[[#This Row],[Customer Gender]]="O", "OTHERS",TRUE,"UNKNOWN")</f>
        <v>FEMALE</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 "MALE",orders[[#This Row],[Customer Gender]]="", "FEMALE",orders[[#This Row],[Customer Gender]]="O", "OTHERS",TRUE,"UNKNOWN")</f>
        <v>UNKNOWN</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 "MALE",orders[[#This Row],[Customer Gender]]="", "FEMALE",orders[[#This Row],[Customer Gender]]="O", "OTHERS",TRUE,"UNKNOWN")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 "MALE",orders[[#This Row],[Customer Gender]]="", "FEMALE",orders[[#This Row],[Customer Gender]]="O", "OTHERS",TRUE,"UNKNOWN")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 "MALE",orders[[#This Row],[Customer Gender]]="", "FEMALE",orders[[#This Row],[Customer Gender]]="O", "OTHERS",TRUE,"UNKNOWN")</f>
        <v>FEMALE</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 "MALE",orders[[#This Row],[Customer Gender]]="", "FEMALE",orders[[#This Row],[Customer Gender]]="O", "OTHERS",TRUE,"UNKNOWN")</f>
        <v>UNKNOWN</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 "MALE",orders[[#This Row],[Customer Gender]]="", "FEMALE",orders[[#This Row],[Customer Gender]]="O", "OTHERS",TRUE,"UNKNOWN")</f>
        <v>UNKNOWN</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 "MALE",orders[[#This Row],[Customer Gender]]="", "FEMALE",orders[[#This Row],[Customer Gender]]="O", "OTHERS",TRUE,"UNKNOWN")</f>
        <v>UNKNOWN</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 "MALE",orders[[#This Row],[Customer Gender]]="", "FEMALE",orders[[#This Row],[Customer Gender]]="O", "OTHERS",TRUE,"UNKNOWN")</f>
        <v>UNKNOWN</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 "MALE",orders[[#This Row],[Customer Gender]]="", "FEMALE",orders[[#This Row],[Customer Gender]]="O", "OTHERS",TRUE,"UNKNOWN")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 "MALE",orders[[#This Row],[Customer Gender]]="", "FEMALE",orders[[#This Row],[Customer Gender]]="O", "OTHERS",TRUE,"UNKNOWN")</f>
        <v>UNKNOWN</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 "MALE",orders[[#This Row],[Customer Gender]]="", "FEMALE",orders[[#This Row],[Customer Gender]]="O", "OTHERS",TRUE,"UNKNOWN")</f>
        <v>FEMALE</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 "MALE",orders[[#This Row],[Customer Gender]]="", "FEMALE",orders[[#This Row],[Customer Gender]]="O", "OTHERS",TRUE,"UNKNOWN")</f>
        <v>UNKNOWN</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 "MALE",orders[[#This Row],[Customer Gender]]="", "FEMALE",orders[[#This Row],[Customer Gender]]="O", "OTHERS",TRUE,"UNKNOWN")</f>
        <v>UNKNOWN</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 "MALE",orders[[#This Row],[Customer Gender]]="", "FEMALE",orders[[#This Row],[Customer Gender]]="O", "OTHERS",TRUE,"UNKNOWN")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 "MALE",orders[[#This Row],[Customer Gender]]="", "FEMALE",orders[[#This Row],[Customer Gender]]="O", "OTHERS",TRUE,"UNKNOWN")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 "MALE",orders[[#This Row],[Customer Gender]]="", "FEMALE",orders[[#This Row],[Customer Gender]]="O", "OTHERS",TRUE,"UNKNOWN")</f>
        <v>UNKNOWN</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 "MALE",orders[[#This Row],[Customer Gender]]="", "FEMALE",orders[[#This Row],[Customer Gender]]="O", "OTHERS",TRUE,"UNKNOWN")</f>
        <v>UNKNOWN</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 "MALE",orders[[#This Row],[Customer Gender]]="", "FEMALE",orders[[#This Row],[Customer Gender]]="O", "OTHERS",TRUE,"UNKNOWN")</f>
        <v>UNKNOWN</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 "MALE",orders[[#This Row],[Customer Gender]]="", "FEMALE",orders[[#This Row],[Customer Gender]]="O", "OTHERS",TRUE,"UNKNOWN")</f>
        <v>UNKNOWN</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 "MALE",orders[[#This Row],[Customer Gender]]="", "FEMALE",orders[[#This Row],[Customer Gender]]="O", "OTHERS",TRUE,"UNKNOWN")</f>
        <v>UNKNOWN</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 "MALE",orders[[#This Row],[Customer Gender]]="", "FEMALE",orders[[#This Row],[Customer Gender]]="O", "OTHERS",TRUE,"UNKNOWN")</f>
        <v>UNKNOWN</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 "MALE",orders[[#This Row],[Customer Gender]]="", "FEMALE",orders[[#This Row],[Customer Gender]]="O", "OTHERS",TRUE,"UNKNOWN")</f>
        <v>UNKNOWN</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 "MALE",orders[[#This Row],[Customer Gender]]="", "FEMALE",orders[[#This Row],[Customer Gender]]="O", "OTHERS",TRUE,"UNKNOWN")</f>
        <v>UNKNOWN</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 "MALE",orders[[#This Row],[Customer Gender]]="", "FEMALE",orders[[#This Row],[Customer Gender]]="O", "OTHERS",TRUE,"UNKNOWN")</f>
        <v>UNKNOWN</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 "MALE",orders[[#This Row],[Customer Gender]]="", "FEMALE",orders[[#This Row],[Customer Gender]]="O", "OTHERS",TRUE,"UNKNOWN")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 "MALE",orders[[#This Row],[Customer Gender]]="", "FEMALE",orders[[#This Row],[Customer Gender]]="O", "OTHERS",TRUE,"UNKNOWN")</f>
        <v>UNKNOWN</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 "MALE",orders[[#This Row],[Customer Gender]]="", "FEMALE",orders[[#This Row],[Customer Gender]]="O", "OTHERS",TRUE,"UNKNOWN")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 "MALE",orders[[#This Row],[Customer Gender]]="", "FEMALE",orders[[#This Row],[Customer Gender]]="O", "OTHERS",TRUE,"UNKNOWN")</f>
        <v>UNKNOWN</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 "MALE",orders[[#This Row],[Customer Gender]]="", "FEMALE",orders[[#This Row],[Customer Gender]]="O", "OTHERS",TRUE,"UNKNOWN")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 "MALE",orders[[#This Row],[Customer Gender]]="", "FEMALE",orders[[#This Row],[Customer Gender]]="O", "OTHERS",TRUE,"UNKNOWN")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 "MALE",orders[[#This Row],[Customer Gender]]="", "FEMALE",orders[[#This Row],[Customer Gender]]="O", "OTHERS",TRUE,"UNKNOWN")</f>
        <v>UNKNOWN</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 "MALE",orders[[#This Row],[Customer Gender]]="", "FEMALE",orders[[#This Row],[Customer Gender]]="O", "OTHERS",TRUE,"UNKNOWN")</f>
        <v>UNKNOWN</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 "MALE",orders[[#This Row],[Customer Gender]]="", "FEMALE",orders[[#This Row],[Customer Gender]]="O", "OTHERS",TRUE,"UNKNOWN")</f>
        <v>UNKNOWN</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 "MALE",orders[[#This Row],[Customer Gender]]="", "FEMALE",orders[[#This Row],[Customer Gender]]="O", "OTHERS",TRUE,"UNKNOWN")</f>
        <v>UNKNOWN</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 "MALE",orders[[#This Row],[Customer Gender]]="", "FEMALE",orders[[#This Row],[Customer Gender]]="O", "OTHERS",TRUE,"UNKNOWN")</f>
        <v>FEMALE</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 "MALE",orders[[#This Row],[Customer Gender]]="", "FEMALE",orders[[#This Row],[Customer Gender]]="O", "OTHERS",TRUE,"UNKNOWN")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 "MALE",orders[[#This Row],[Customer Gender]]="", "FEMALE",orders[[#This Row],[Customer Gender]]="O", "OTHERS",TRUE,"UNKNOWN")</f>
        <v>UNKNOWN</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 "MALE",orders[[#This Row],[Customer Gender]]="", "FEMALE",orders[[#This Row],[Customer Gender]]="O", "OTHERS",TRUE,"UNKNOWN")</f>
        <v>OTHERS</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 "MALE",orders[[#This Row],[Customer Gender]]="", "FEMALE",orders[[#This Row],[Customer Gender]]="O", "OTHERS",TRUE,"UNKNOWN")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 "MALE",orders[[#This Row],[Customer Gender]]="", "FEMALE",orders[[#This Row],[Customer Gender]]="O", "OTHERS",TRUE,"UNKNOWN")</f>
        <v>UNKNOWN</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 "MALE",orders[[#This Row],[Customer Gender]]="", "FEMALE",orders[[#This Row],[Customer Gender]]="O", "OTHERS",TRUE,"UNKNOWN")</f>
        <v>UNKNOWN</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 "MALE",orders[[#This Row],[Customer Gender]]="", "FEMALE",orders[[#This Row],[Customer Gender]]="O", "OTHERS",TRUE,"UNKNOWN")</f>
        <v>UNKNOWN</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 "MALE",orders[[#This Row],[Customer Gender]]="", "FEMALE",orders[[#This Row],[Customer Gender]]="O", "OTHERS",TRUE,"UNKNOWN")</f>
        <v>UNKNOWN</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 "MALE",orders[[#This Row],[Customer Gender]]="", "FEMALE",orders[[#This Row],[Customer Gender]]="O", "OTHERS",TRUE,"UNKNOWN")</f>
        <v>UNKNOWN</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 "MALE",orders[[#This Row],[Customer Gender]]="", "FEMALE",orders[[#This Row],[Customer Gender]]="O", "OTHERS",TRUE,"UNKNOWN")</f>
        <v>UNKNOWN</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 "MALE",orders[[#This Row],[Customer Gender]]="", "FEMALE",orders[[#This Row],[Customer Gender]]="O", "OTHERS",TRUE,"UNKNOWN")</f>
        <v>UNKNOWN</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 "MALE",orders[[#This Row],[Customer Gender]]="", "FEMALE",orders[[#This Row],[Customer Gender]]="O", "OTHERS",TRUE,"UNKNOWN")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 "MALE",orders[[#This Row],[Customer Gender]]="", "FEMALE",orders[[#This Row],[Customer Gender]]="O", "OTHERS",TRUE,"UNKNOWN")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 "MALE",orders[[#This Row],[Customer Gender]]="", "FEMALE",orders[[#This Row],[Customer Gender]]="O", "OTHERS",TRUE,"UNKNOWN")</f>
        <v>UNKNOWN</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 "MALE",orders[[#This Row],[Customer Gender]]="", "FEMALE",orders[[#This Row],[Customer Gender]]="O", "OTHERS",TRUE,"UNKNOWN")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 "MALE",orders[[#This Row],[Customer Gender]]="", "FEMALE",orders[[#This Row],[Customer Gender]]="O", "OTHERS",TRUE,"UNKNOWN")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 "MALE",orders[[#This Row],[Customer Gender]]="", "FEMALE",orders[[#This Row],[Customer Gender]]="O", "OTHERS",TRUE,"UNKNOWN")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 "MALE",orders[[#This Row],[Customer Gender]]="", "FEMALE",orders[[#This Row],[Customer Gender]]="O", "OTHERS",TRUE,"UNKNOWN")</f>
        <v>UNKNOWN</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 "MALE",orders[[#This Row],[Customer Gender]]="", "FEMALE",orders[[#This Row],[Customer Gender]]="O", "OTHERS",TRUE,"UNKNOWN")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 "MALE",orders[[#This Row],[Customer Gender]]="", "FEMALE",orders[[#This Row],[Customer Gender]]="O", "OTHERS",TRUE,"UNKNOWN")</f>
        <v>UNKNOWN</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 "MALE",orders[[#This Row],[Customer Gender]]="", "FEMALE",orders[[#This Row],[Customer Gender]]="O", "OTHERS",TRUE,"UNKNOWN")</f>
        <v>UNKNOWN</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 "MALE",orders[[#This Row],[Customer Gender]]="", "FEMALE",orders[[#This Row],[Customer Gender]]="O", "OTHERS",TRUE,"UNKNOWN")</f>
        <v>UNKNOWN</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 "MALE",orders[[#This Row],[Customer Gender]]="", "FEMALE",orders[[#This Row],[Customer Gender]]="O", "OTHERS",TRUE,"UNKNOWN")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 "MALE",orders[[#This Row],[Customer Gender]]="", "FEMALE",orders[[#This Row],[Customer Gender]]="O", "OTHERS",TRUE,"UNKNOWN")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 "MALE",orders[[#This Row],[Customer Gender]]="", "FEMALE",orders[[#This Row],[Customer Gender]]="O", "OTHERS",TRUE,"UNKNOWN")</f>
        <v>UNKNOWN</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 "MALE",orders[[#This Row],[Customer Gender]]="", "FEMALE",orders[[#This Row],[Customer Gender]]="O", "OTHERS",TRUE,"UNKNOWN")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 "MALE",orders[[#This Row],[Customer Gender]]="", "FEMALE",orders[[#This Row],[Customer Gender]]="O", "OTHERS",TRUE,"UNKNOWN")</f>
        <v>UNKNOWN</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 "MALE",orders[[#This Row],[Customer Gender]]="", "FEMALE",orders[[#This Row],[Customer Gender]]="O", "OTHERS",TRUE,"UNKNOWN")</f>
        <v>UNKNOWN</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 "MALE",orders[[#This Row],[Customer Gender]]="", "FEMALE",orders[[#This Row],[Customer Gender]]="O", "OTHERS",TRUE,"UNKNOWN")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 "MALE",orders[[#This Row],[Customer Gender]]="", "FEMALE",orders[[#This Row],[Customer Gender]]="O", "OTHERS",TRUE,"UNKNOWN")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 "MALE",orders[[#This Row],[Customer Gender]]="", "FEMALE",orders[[#This Row],[Customer Gender]]="O", "OTHERS",TRUE,"UNKNOWN")</f>
        <v>UNKNOWN</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 "MALE",orders[[#This Row],[Customer Gender]]="", "FEMALE",orders[[#This Row],[Customer Gender]]="O", "OTHERS",TRUE,"UNKNOWN")</f>
        <v>UNKNOWN</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 "MALE",orders[[#This Row],[Customer Gender]]="", "FEMALE",orders[[#This Row],[Customer Gender]]="O", "OTHERS",TRUE,"UNKNOWN")</f>
        <v>UNKNOWN</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 "MALE",orders[[#This Row],[Customer Gender]]="", "FEMALE",orders[[#This Row],[Customer Gender]]="O", "OTHERS",TRUE,"UNKNOWN")</f>
        <v>UNKNOWN</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 "MALE",orders[[#This Row],[Customer Gender]]="", "FEMALE",orders[[#This Row],[Customer Gender]]="O", "OTHERS",TRUE,"UNKNOWN")</f>
        <v>UNKNOWN</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 "MALE",orders[[#This Row],[Customer Gender]]="", "FEMALE",orders[[#This Row],[Customer Gender]]="O", "OTHERS",TRUE,"UNKNOWN")</f>
        <v>UNKNOWN</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 "MALE",orders[[#This Row],[Customer Gender]]="", "FEMALE",orders[[#This Row],[Customer Gender]]="O", "OTHERS",TRUE,"UNKNOWN")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 "MALE",orders[[#This Row],[Customer Gender]]="", "FEMALE",orders[[#This Row],[Customer Gender]]="O", "OTHERS",TRUE,"UNKNOWN")</f>
        <v>UNKNOWN</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 "MALE",orders[[#This Row],[Customer Gender]]="", "FEMALE",orders[[#This Row],[Customer Gender]]="O", "OTHERS",TRUE,"UNKNOWN")</f>
        <v>UNKNOWN</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 "MALE",orders[[#This Row],[Customer Gender]]="", "FEMALE",orders[[#This Row],[Customer Gender]]="O", "OTHERS",TRUE,"UNKNOWN")</f>
        <v>UNKNOWN</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 "MALE",orders[[#This Row],[Customer Gender]]="", "FEMALE",orders[[#This Row],[Customer Gender]]="O", "OTHERS",TRUE,"UNKNOWN")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 "MALE",orders[[#This Row],[Customer Gender]]="", "FEMALE",orders[[#This Row],[Customer Gender]]="O", "OTHERS",TRUE,"UNKNOWN")</f>
        <v>UNKNOWN</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 "MALE",orders[[#This Row],[Customer Gender]]="", "FEMALE",orders[[#This Row],[Customer Gender]]="O", "OTHERS",TRUE,"UNKNOWN")</f>
        <v>UNKNOWN</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 "MALE",orders[[#This Row],[Customer Gender]]="", "FEMALE",orders[[#This Row],[Customer Gender]]="O", "OTHERS",TRUE,"UNKNOWN")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 "MALE",orders[[#This Row],[Customer Gender]]="", "FEMALE",orders[[#This Row],[Customer Gender]]="O", "OTHERS",TRUE,"UNKNOWN")</f>
        <v>UNKNOWN</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 "MALE",orders[[#This Row],[Customer Gender]]="", "FEMALE",orders[[#This Row],[Customer Gender]]="O", "OTHERS",TRUE,"UNKNOWN")</f>
        <v>UNKNOWN</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 "MALE",orders[[#This Row],[Customer Gender]]="", "FEMALE",orders[[#This Row],[Customer Gender]]="O", "OTHERS",TRUE,"UNKNOWN")</f>
        <v>UNKNOWN</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 "MALE",orders[[#This Row],[Customer Gender]]="", "FEMALE",orders[[#This Row],[Customer Gender]]="O", "OTHERS",TRUE,"UNKNOWN")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 "MALE",orders[[#This Row],[Customer Gender]]="", "FEMALE",orders[[#This Row],[Customer Gender]]="O", "OTHERS",TRUE,"UNKNOWN")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 "MALE",orders[[#This Row],[Customer Gender]]="", "FEMALE",orders[[#This Row],[Customer Gender]]="O", "OTHERS",TRUE,"UNKNOWN")</f>
        <v>UNKNOWN</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 "MALE",orders[[#This Row],[Customer Gender]]="", "FEMALE",orders[[#This Row],[Customer Gender]]="O", "OTHERS",TRUE,"UNKNOWN")</f>
        <v>UNKNOWN</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 "MALE",orders[[#This Row],[Customer Gender]]="", "FEMALE",orders[[#This Row],[Customer Gender]]="O", "OTHERS",TRUE,"UNKNOWN")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 "MALE",orders[[#This Row],[Customer Gender]]="", "FEMALE",orders[[#This Row],[Customer Gender]]="O", "OTHERS",TRUE,"UNKNOWN")</f>
        <v>UNKNOWN</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 "MALE",orders[[#This Row],[Customer Gender]]="", "FEMALE",orders[[#This Row],[Customer Gender]]="O", "OTHERS",TRUE,"UNKNOWN")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 "MALE",orders[[#This Row],[Customer Gender]]="", "FEMALE",orders[[#This Row],[Customer Gender]]="O", "OTHERS",TRUE,"UNKNOWN")</f>
        <v>UNKNOWN</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 "MALE",orders[[#This Row],[Customer Gender]]="", "FEMALE",orders[[#This Row],[Customer Gender]]="O", "OTHERS",TRUE,"UNKNOWN")</f>
        <v>UNKNOWN</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 "MALE",orders[[#This Row],[Customer Gender]]="", "FEMALE",orders[[#This Row],[Customer Gender]]="O", "OTHERS",TRUE,"UNKNOWN")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 "MALE",orders[[#This Row],[Customer Gender]]="", "FEMALE",orders[[#This Row],[Customer Gender]]="O", "OTHERS",TRUE,"UNKNOWN")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 "MALE",orders[[#This Row],[Customer Gender]]="", "FEMALE",orders[[#This Row],[Customer Gender]]="O", "OTHERS",TRUE,"UNKNOWN")</f>
        <v>UNKNOWN</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 "MALE",orders[[#This Row],[Customer Gender]]="", "FEMALE",orders[[#This Row],[Customer Gender]]="O", "OTHERS",TRUE,"UNKNOWN")</f>
        <v>UNKNOWN</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 "MALE",orders[[#This Row],[Customer Gender]]="", "FEMALE",orders[[#This Row],[Customer Gender]]="O", "OTHERS",TRUE,"UNKNOWN")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 "MALE",orders[[#This Row],[Customer Gender]]="", "FEMALE",orders[[#This Row],[Customer Gender]]="O", "OTHERS",TRUE,"UNKNOWN")</f>
        <v>UNKNOWN</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 "MALE",orders[[#This Row],[Customer Gender]]="", "FEMALE",orders[[#This Row],[Customer Gender]]="O", "OTHERS",TRUE,"UNKNOWN")</f>
        <v>UNKNOWN</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 "MALE",orders[[#This Row],[Customer Gender]]="", "FEMALE",orders[[#This Row],[Customer Gender]]="O", "OTHERS",TRUE,"UNKNOWN")</f>
        <v>UNKNOWN</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 "MALE",orders[[#This Row],[Customer Gender]]="", "FEMALE",orders[[#This Row],[Customer Gender]]="O", "OTHERS",TRUE,"UNKNOWN")</f>
        <v>UNKNOWN</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 "MALE",orders[[#This Row],[Customer Gender]]="", "FEMALE",orders[[#This Row],[Customer Gender]]="O", "OTHERS",TRUE,"UNKNOWN")</f>
        <v>UNKNOWN</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 "MALE",orders[[#This Row],[Customer Gender]]="", "FEMALE",orders[[#This Row],[Customer Gender]]="O", "OTHERS",TRUE,"UNKNOWN")</f>
        <v>UNKNOWN</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 "MALE",orders[[#This Row],[Customer Gender]]="", "FEMALE",orders[[#This Row],[Customer Gender]]="O", "OTHERS",TRUE,"UNKNOWN")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 "MALE",orders[[#This Row],[Customer Gender]]="", "FEMALE",orders[[#This Row],[Customer Gender]]="O", "OTHERS",TRUE,"UNKNOWN")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 "MALE",orders[[#This Row],[Customer Gender]]="", "FEMALE",orders[[#This Row],[Customer Gender]]="O", "OTHERS",TRUE,"UNKNOWN")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 "MALE",orders[[#This Row],[Customer Gender]]="", "FEMALE",orders[[#This Row],[Customer Gender]]="O", "OTHERS",TRUE,"UNKNOWN")</f>
        <v>UNKNOWN</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 "MALE",orders[[#This Row],[Customer Gender]]="", "FEMALE",orders[[#This Row],[Customer Gender]]="O", "OTHERS",TRUE,"UNKNOWN")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 "MALE",orders[[#This Row],[Customer Gender]]="", "FEMALE",orders[[#This Row],[Customer Gender]]="O", "OTHERS",TRUE,"UNKNOWN")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 "MALE",orders[[#This Row],[Customer Gender]]="", "FEMALE",orders[[#This Row],[Customer Gender]]="O", "OTHERS",TRUE,"UNKNOWN")</f>
        <v>UNKNOWN</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 "MALE",orders[[#This Row],[Customer Gender]]="", "FEMALE",orders[[#This Row],[Customer Gender]]="O", "OTHERS",TRUE,"UNKNOWN")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 "MALE",orders[[#This Row],[Customer Gender]]="", "FEMALE",orders[[#This Row],[Customer Gender]]="O", "OTHERS",TRUE,"UNKNOWN")</f>
        <v>UNKNOWN</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 "MALE",orders[[#This Row],[Customer Gender]]="", "FEMALE",orders[[#This Row],[Customer Gender]]="O", "OTHERS",TRUE,"UNKNOWN")</f>
        <v>FEMALE</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 "MALE",orders[[#This Row],[Customer Gender]]="", "FEMALE",orders[[#This Row],[Customer Gender]]="O", "OTHERS",TRUE,"UNKNOWN")</f>
        <v>UNKNOWN</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 "MALE",orders[[#This Row],[Customer Gender]]="", "FEMALE",orders[[#This Row],[Customer Gender]]="O", "OTHERS",TRUE,"UNKNOWN")</f>
        <v>UNKNOWN</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 "MALE",orders[[#This Row],[Customer Gender]]="", "FEMALE",orders[[#This Row],[Customer Gender]]="O", "OTHERS",TRUE,"UNKNOWN")</f>
        <v>UNKNOWN</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 "MALE",orders[[#This Row],[Customer Gender]]="", "FEMALE",orders[[#This Row],[Customer Gender]]="O", "OTHERS",TRUE,"UNKNOWN")</f>
        <v>UNKNOWN</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 "MALE",orders[[#This Row],[Customer Gender]]="", "FEMALE",orders[[#This Row],[Customer Gender]]="O", "OTHERS",TRUE,"UNKNOWN")</f>
        <v>UNKNOWN</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 "MALE",orders[[#This Row],[Customer Gender]]="", "FEMALE",orders[[#This Row],[Customer Gender]]="O", "OTHERS",TRUE,"UNKNOWN")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 "MALE",orders[[#This Row],[Customer Gender]]="", "FEMALE",orders[[#This Row],[Customer Gender]]="O", "OTHERS",TRUE,"UNKNOWN")</f>
        <v>UNKNOWN</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 "MALE",orders[[#This Row],[Customer Gender]]="", "FEMALE",orders[[#This Row],[Customer Gender]]="O", "OTHERS",TRUE,"UNKNOWN")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 "MALE",orders[[#This Row],[Customer Gender]]="", "FEMALE",orders[[#This Row],[Customer Gender]]="O", "OTHERS",TRUE,"UNKNOWN")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 "MALE",orders[[#This Row],[Customer Gender]]="", "FEMALE",orders[[#This Row],[Customer Gender]]="O", "OTHERS",TRUE,"UNKNOWN")</f>
        <v>UNKNOWN</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 "MALE",orders[[#This Row],[Customer Gender]]="", "FEMALE",orders[[#This Row],[Customer Gender]]="O", "OTHERS",TRUE,"UNKNOWN")</f>
        <v>UNKNOWN</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 "MALE",orders[[#This Row],[Customer Gender]]="", "FEMALE",orders[[#This Row],[Customer Gender]]="O", "OTHERS",TRUE,"UNKNOWN")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 "MALE",orders[[#This Row],[Customer Gender]]="", "FEMALE",orders[[#This Row],[Customer Gender]]="O", "OTHERS",TRUE,"UNKNOWN")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 "MALE",orders[[#This Row],[Customer Gender]]="", "FEMALE",orders[[#This Row],[Customer Gender]]="O", "OTHERS",TRUE,"UNKNOWN")</f>
        <v>UNKNOWN</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 "MALE",orders[[#This Row],[Customer Gender]]="", "FEMALE",orders[[#This Row],[Customer Gender]]="O", "OTHERS",TRUE,"UNKNOWN")</f>
        <v>UNKNOWN</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 "MALE",orders[[#This Row],[Customer Gender]]="", "FEMALE",orders[[#This Row],[Customer Gender]]="O", "OTHERS",TRUE,"UNKNOWN")</f>
        <v>UNKNOWN</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 "MALE",orders[[#This Row],[Customer Gender]]="", "FEMALE",orders[[#This Row],[Customer Gender]]="O", "OTHERS",TRUE,"UNKNOWN")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 "MALE",orders[[#This Row],[Customer Gender]]="", "FEMALE",orders[[#This Row],[Customer Gender]]="O", "OTHERS",TRUE,"UNKNOWN")</f>
        <v>UNKNOWN</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 "MALE",orders[[#This Row],[Customer Gender]]="", "FEMALE",orders[[#This Row],[Customer Gender]]="O", "OTHERS",TRUE,"UNKNOWN")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 "MALE",orders[[#This Row],[Customer Gender]]="", "FEMALE",orders[[#This Row],[Customer Gender]]="O", "OTHERS",TRUE,"UNKNOWN")</f>
        <v>UNKNOWN</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 "MALE",orders[[#This Row],[Customer Gender]]="", "FEMALE",orders[[#This Row],[Customer Gender]]="O", "OTHERS",TRUE,"UNKNOWN")</f>
        <v>UNKNOWN</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 "MALE",orders[[#This Row],[Customer Gender]]="", "FEMALE",orders[[#This Row],[Customer Gender]]="O", "OTHERS",TRUE,"UNKNOWN")</f>
        <v>UNKNOWN</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 "MALE",orders[[#This Row],[Customer Gender]]="", "FEMALE",orders[[#This Row],[Customer Gender]]="O", "OTHERS",TRUE,"UNKNOWN")</f>
        <v>FEMALE</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 "MALE",orders[[#This Row],[Customer Gender]]="", "FEMALE",orders[[#This Row],[Customer Gender]]="O", "OTHERS",TRUE,"UNKNOWN")</f>
        <v>UNKNOWN</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 "MALE",orders[[#This Row],[Customer Gender]]="", "FEMALE",orders[[#This Row],[Customer Gender]]="O", "OTHERS",TRUE,"UNKNOWN")</f>
        <v>UNKNOWN</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 "MALE",orders[[#This Row],[Customer Gender]]="", "FEMALE",orders[[#This Row],[Customer Gender]]="O", "OTHERS",TRUE,"UNKNOWN")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 "MALE",orders[[#This Row],[Customer Gender]]="", "FEMALE",orders[[#This Row],[Customer Gender]]="O", "OTHERS",TRUE,"UNKNOWN")</f>
        <v>UNKNOWN</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 "MALE",orders[[#This Row],[Customer Gender]]="", "FEMALE",orders[[#This Row],[Customer Gender]]="O", "OTHERS",TRUE,"UNKNOWN")</f>
        <v>UNKNOWN</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 "MALE",orders[[#This Row],[Customer Gender]]="", "FEMALE",orders[[#This Row],[Customer Gender]]="O", "OTHERS",TRUE,"UNKNOWN")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 "MALE",orders[[#This Row],[Customer Gender]]="", "FEMALE",orders[[#This Row],[Customer Gender]]="O", "OTHERS",TRUE,"UNKNOWN")</f>
        <v>UNKNOWN</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 "MALE",orders[[#This Row],[Customer Gender]]="", "FEMALE",orders[[#This Row],[Customer Gender]]="O", "OTHERS",TRUE,"UNKNOWN")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 "MALE",orders[[#This Row],[Customer Gender]]="", "FEMALE",orders[[#This Row],[Customer Gender]]="O", "OTHERS",TRUE,"UNKNOWN")</f>
        <v>UNKNOWN</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 "MALE",orders[[#This Row],[Customer Gender]]="", "FEMALE",orders[[#This Row],[Customer Gender]]="O", "OTHERS",TRUE,"UNKNOWN")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 "MALE",orders[[#This Row],[Customer Gender]]="", "FEMALE",orders[[#This Row],[Customer Gender]]="O", "OTHERS",TRUE,"UNKNOWN")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 "MALE",orders[[#This Row],[Customer Gender]]="", "FEMALE",orders[[#This Row],[Customer Gender]]="O", "OTHERS",TRUE,"UNKNOWN")</f>
        <v>UNKNOWN</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 "MALE",orders[[#This Row],[Customer Gender]]="", "FEMALE",orders[[#This Row],[Customer Gender]]="O", "OTHERS",TRUE,"UNKNOWN")</f>
        <v>UNKNOWN</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 "MALE",orders[[#This Row],[Customer Gender]]="", "FEMALE",orders[[#This Row],[Customer Gender]]="O", "OTHERS",TRUE,"UNKNOWN")</f>
        <v>UNKNOWN</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 "MALE",orders[[#This Row],[Customer Gender]]="", "FEMALE",orders[[#This Row],[Customer Gender]]="O", "OTHERS",TRUE,"UNKNOWN")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 "MALE",orders[[#This Row],[Customer Gender]]="", "FEMALE",orders[[#This Row],[Customer Gender]]="O", "OTHERS",TRUE,"UNKNOWN")</f>
        <v>UNKNOWN</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 "MALE",orders[[#This Row],[Customer Gender]]="", "FEMALE",orders[[#This Row],[Customer Gender]]="O", "OTHERS",TRUE,"UNKNOWN")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 "MALE",orders[[#This Row],[Customer Gender]]="", "FEMALE",orders[[#This Row],[Customer Gender]]="O", "OTHERS",TRUE,"UNKNOWN")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 "MALE",orders[[#This Row],[Customer Gender]]="", "FEMALE",orders[[#This Row],[Customer Gender]]="O", "OTHERS",TRUE,"UNKNOWN")</f>
        <v>UNKNOWN</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 "MALE",orders[[#This Row],[Customer Gender]]="", "FEMALE",orders[[#This Row],[Customer Gender]]="O", "OTHERS",TRUE,"UNKNOWN")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 "MALE",orders[[#This Row],[Customer Gender]]="", "FEMALE",orders[[#This Row],[Customer Gender]]="O", "OTHERS",TRUE,"UNKNOWN")</f>
        <v>UNKNOWN</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 "MALE",orders[[#This Row],[Customer Gender]]="", "FEMALE",orders[[#This Row],[Customer Gender]]="O", "OTHERS",TRUE,"UNKNOWN")</f>
        <v>UNKNOWN</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 "MALE",orders[[#This Row],[Customer Gender]]="", "FEMALE",orders[[#This Row],[Customer Gender]]="O", "OTHERS",TRUE,"UNKNOWN")</f>
        <v>UNKNOWN</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 "MALE",orders[[#This Row],[Customer Gender]]="", "FEMALE",orders[[#This Row],[Customer Gender]]="O", "OTHERS",TRUE,"UNKNOWN")</f>
        <v>UNKNOWN</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 "MALE",orders[[#This Row],[Customer Gender]]="", "FEMALE",orders[[#This Row],[Customer Gender]]="O", "OTHERS",TRUE,"UNKNOWN")</f>
        <v>UNKNOWN</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 "MALE",orders[[#This Row],[Customer Gender]]="", "FEMALE",orders[[#This Row],[Customer Gender]]="O", "OTHERS",TRUE,"UNKNOWN")</f>
        <v>UNKNOWN</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 "MALE",orders[[#This Row],[Customer Gender]]="", "FEMALE",orders[[#This Row],[Customer Gender]]="O", "OTHERS",TRUE,"UNKNOWN")</f>
        <v>FEMALE</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 "MALE",orders[[#This Row],[Customer Gender]]="", "FEMALE",orders[[#This Row],[Customer Gender]]="O", "OTHERS",TRUE,"UNKNOWN")</f>
        <v>UNKNOWN</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 "MALE",orders[[#This Row],[Customer Gender]]="", "FEMALE",orders[[#This Row],[Customer Gender]]="O", "OTHERS",TRUE,"UNKNOWN")</f>
        <v>UNKNOWN</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 "MALE",orders[[#This Row],[Customer Gender]]="", "FEMALE",orders[[#This Row],[Customer Gender]]="O", "OTHERS",TRUE,"UNKNOWN")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 "MALE",orders[[#This Row],[Customer Gender]]="", "FEMALE",orders[[#This Row],[Customer Gender]]="O", "OTHERS",TRUE,"UNKNOWN")</f>
        <v>UNKNOWN</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 "MALE",orders[[#This Row],[Customer Gender]]="", "FEMALE",orders[[#This Row],[Customer Gender]]="O", "OTHERS",TRUE,"UNKNOWN")</f>
        <v>UNKNOWN</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 "MALE",orders[[#This Row],[Customer Gender]]="", "FEMALE",orders[[#This Row],[Customer Gender]]="O", "OTHERS",TRUE,"UNKNOWN")</f>
        <v>UNKNOWN</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 "MALE",orders[[#This Row],[Customer Gender]]="", "FEMALE",orders[[#This Row],[Customer Gender]]="O", "OTHERS",TRUE,"UNKNOWN")</f>
        <v>UNKNOWN</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 "MALE",orders[[#This Row],[Customer Gender]]="", "FEMALE",orders[[#This Row],[Customer Gender]]="O", "OTHERS",TRUE,"UNKNOWN")</f>
        <v>UNKNOWN</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 "MALE",orders[[#This Row],[Customer Gender]]="", "FEMALE",orders[[#This Row],[Customer Gender]]="O", "OTHERS",TRUE,"UNKNOWN")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 "MALE",orders[[#This Row],[Customer Gender]]="", "FEMALE",orders[[#This Row],[Customer Gender]]="O", "OTHERS",TRUE,"UNKNOWN")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 "MALE",orders[[#This Row],[Customer Gender]]="", "FEMALE",orders[[#This Row],[Customer Gender]]="O", "OTHERS",TRUE,"UNKNOWN")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 "MALE",orders[[#This Row],[Customer Gender]]="", "FEMALE",orders[[#This Row],[Customer Gender]]="O", "OTHERS",TRUE,"UNKNOWN")</f>
        <v>UNKNOWN</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 "MALE",orders[[#This Row],[Customer Gender]]="", "FEMALE",orders[[#This Row],[Customer Gender]]="O", "OTHERS",TRUE,"UNKNOWN")</f>
        <v>UNKNOWN</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 "MALE",orders[[#This Row],[Customer Gender]]="", "FEMALE",orders[[#This Row],[Customer Gender]]="O", "OTHERS",TRUE,"UNKNOWN")</f>
        <v>UNKNOWN</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 "MALE",orders[[#This Row],[Customer Gender]]="", "FEMALE",orders[[#This Row],[Customer Gender]]="O", "OTHERS",TRUE,"UNKNOWN")</f>
        <v>UNKNOWN</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 "MALE",orders[[#This Row],[Customer Gender]]="", "FEMALE",orders[[#This Row],[Customer Gender]]="O", "OTHERS",TRUE,"UNKNOWN")</f>
        <v>FEMALE</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 "MALE",orders[[#This Row],[Customer Gender]]="", "FEMALE",orders[[#This Row],[Customer Gender]]="O", "OTHERS",TRUE,"UNKNOWN")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 "MALE",orders[[#This Row],[Customer Gender]]="", "FEMALE",orders[[#This Row],[Customer Gender]]="O", "OTHERS",TRUE,"UNKNOWN")</f>
        <v>UNKNOWN</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 "MALE",orders[[#This Row],[Customer Gender]]="", "FEMALE",orders[[#This Row],[Customer Gender]]="O", "OTHERS",TRUE,"UNKNOWN")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 "MALE",orders[[#This Row],[Customer Gender]]="", "FEMALE",orders[[#This Row],[Customer Gender]]="O", "OTHERS",TRUE,"UNKNOWN")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 "MALE",orders[[#This Row],[Customer Gender]]="", "FEMALE",orders[[#This Row],[Customer Gender]]="O", "OTHERS",TRUE,"UNKNOWN")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 "MALE",orders[[#This Row],[Customer Gender]]="", "FEMALE",orders[[#This Row],[Customer Gender]]="O", "OTHERS",TRUE,"UNKNOWN")</f>
        <v>UNKNOWN</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 "MALE",orders[[#This Row],[Customer Gender]]="", "FEMALE",orders[[#This Row],[Customer Gender]]="O", "OTHERS",TRUE,"UNKNOWN")</f>
        <v>UNKNOWN</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 "MALE",orders[[#This Row],[Customer Gender]]="", "FEMALE",orders[[#This Row],[Customer Gender]]="O", "OTHERS",TRUE,"UNKNOWN")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 "MALE",orders[[#This Row],[Customer Gender]]="", "FEMALE",orders[[#This Row],[Customer Gender]]="O", "OTHERS",TRUE,"UNKNOWN")</f>
        <v>FEMALE</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 "MALE",orders[[#This Row],[Customer Gender]]="", "FEMALE",orders[[#This Row],[Customer Gender]]="O", "OTHERS",TRUE,"UNKNOWN")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 "MALE",orders[[#This Row],[Customer Gender]]="", "FEMALE",orders[[#This Row],[Customer Gender]]="O", "OTHERS",TRUE,"UNKNOWN")</f>
        <v>UNKNOWN</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 "MALE",orders[[#This Row],[Customer Gender]]="", "FEMALE",orders[[#This Row],[Customer Gender]]="O", "OTHERS",TRUE,"UNKNOWN")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 "MALE",orders[[#This Row],[Customer Gender]]="", "FEMALE",orders[[#This Row],[Customer Gender]]="O", "OTHERS",TRUE,"UNKNOWN")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 "MALE",orders[[#This Row],[Customer Gender]]="", "FEMALE",orders[[#This Row],[Customer Gender]]="O", "OTHERS",TRUE,"UNKNOWN")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 "MALE",orders[[#This Row],[Customer Gender]]="", "FEMALE",orders[[#This Row],[Customer Gender]]="O", "OTHERS",TRUE,"UNKNOWN")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 "MALE",orders[[#This Row],[Customer Gender]]="", "FEMALE",orders[[#This Row],[Customer Gender]]="O", "OTHERS",TRUE,"UNKNOWN")</f>
        <v>UNKNOWN</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 "MALE",orders[[#This Row],[Customer Gender]]="", "FEMALE",orders[[#This Row],[Customer Gender]]="O", "OTHERS",TRUE,"UNKNOWN")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 "MALE",orders[[#This Row],[Customer Gender]]="", "FEMALE",orders[[#This Row],[Customer Gender]]="O", "OTHERS",TRUE,"UNKNOWN")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 "MALE",orders[[#This Row],[Customer Gender]]="", "FEMALE",orders[[#This Row],[Customer Gender]]="O", "OTHERS",TRUE,"UNKNOWN")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 "MALE",orders[[#This Row],[Customer Gender]]="", "FEMALE",orders[[#This Row],[Customer Gender]]="O", "OTHERS",TRUE,"UNKNOWN")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 "MALE",orders[[#This Row],[Customer Gender]]="", "FEMALE",orders[[#This Row],[Customer Gender]]="O", "OTHERS",TRUE,"UNKNOWN")</f>
        <v>FEMALE</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 "MALE",orders[[#This Row],[Customer Gender]]="", "FEMALE",orders[[#This Row],[Customer Gender]]="O", "OTHERS",TRUE,"UNKNOWN")</f>
        <v>UNKNOWN</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 "MALE",orders[[#This Row],[Customer Gender]]="", "FEMALE",orders[[#This Row],[Customer Gender]]="O", "OTHERS",TRUE,"UNKNOWN")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 "MALE",orders[[#This Row],[Customer Gender]]="", "FEMALE",orders[[#This Row],[Customer Gender]]="O", "OTHERS",TRUE,"UNKNOWN")</f>
        <v>UNKNOWN</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 "MALE",orders[[#This Row],[Customer Gender]]="", "FEMALE",orders[[#This Row],[Customer Gender]]="O", "OTHERS",TRUE,"UNKNOWN")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 "MALE",orders[[#This Row],[Customer Gender]]="", "FEMALE",orders[[#This Row],[Customer Gender]]="O", "OTHERS",TRUE,"UNKNOWN")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 "MALE",orders[[#This Row],[Customer Gender]]="", "FEMALE",orders[[#This Row],[Customer Gender]]="O", "OTHERS",TRUE,"UNKNOWN")</f>
        <v>UNKNOWN</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 "MALE",orders[[#This Row],[Customer Gender]]="", "FEMALE",orders[[#This Row],[Customer Gender]]="O", "OTHERS",TRUE,"UNKNOWN")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 "MALE",orders[[#This Row],[Customer Gender]]="", "FEMALE",orders[[#This Row],[Customer Gender]]="O", "OTHERS",TRUE,"UNKNOWN")</f>
        <v>UNKNOWN</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 "MALE",orders[[#This Row],[Customer Gender]]="", "FEMALE",orders[[#This Row],[Customer Gender]]="O", "OTHERS",TRUE,"UNKNOWN")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 "MALE",orders[[#This Row],[Customer Gender]]="", "FEMALE",orders[[#This Row],[Customer Gender]]="O", "OTHERS",TRUE,"UNKNOWN")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 "MALE",orders[[#This Row],[Customer Gender]]="", "FEMALE",orders[[#This Row],[Customer Gender]]="O", "OTHERS",TRUE,"UNKNOWN")</f>
        <v>UNKNOWN</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 "MALE",orders[[#This Row],[Customer Gender]]="", "FEMALE",orders[[#This Row],[Customer Gender]]="O", "OTHERS",TRUE,"UNKNOWN")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 "MALE",orders[[#This Row],[Customer Gender]]="", "FEMALE",orders[[#This Row],[Customer Gender]]="O", "OTHERS",TRUE,"UNKNOWN")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 "MALE",orders[[#This Row],[Customer Gender]]="", "FEMALE",orders[[#This Row],[Customer Gender]]="O", "OTHERS",TRUE,"UNKNOWN")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 "MALE",orders[[#This Row],[Customer Gender]]="", "FEMALE",orders[[#This Row],[Customer Gender]]="O", "OTHERS",TRUE,"UNKNOWN")</f>
        <v>UNKNOWN</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 "MALE",orders[[#This Row],[Customer Gender]]="", "FEMALE",orders[[#This Row],[Customer Gender]]="O", "OTHERS",TRUE,"UNKNOWN")</f>
        <v>OTHERS</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 "MALE",orders[[#This Row],[Customer Gender]]="", "FEMALE",orders[[#This Row],[Customer Gender]]="O", "OTHERS",TRUE,"UNKNOWN")</f>
        <v>UNKNOWN</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 "MALE",orders[[#This Row],[Customer Gender]]="", "FEMALE",orders[[#This Row],[Customer Gender]]="O", "OTHERS",TRUE,"UNKNOWN")</f>
        <v>UNKNOWN</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 "MALE",orders[[#This Row],[Customer Gender]]="", "FEMALE",orders[[#This Row],[Customer Gender]]="O", "OTHERS",TRUE,"UNKNOWN")</f>
        <v>UNKNOWN</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 "MALE",orders[[#This Row],[Customer Gender]]="", "FEMALE",orders[[#This Row],[Customer Gender]]="O", "OTHERS",TRUE,"UNKNOWN")</f>
        <v>UNKNOWN</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 "MALE",orders[[#This Row],[Customer Gender]]="", "FEMALE",orders[[#This Row],[Customer Gender]]="O", "OTHERS",TRUE,"UNKNOWN")</f>
        <v>OTHERS</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 "MALE",orders[[#This Row],[Customer Gender]]="", "FEMALE",orders[[#This Row],[Customer Gender]]="O", "OTHERS",TRUE,"UNKNOWN")</f>
        <v>UNKNOWN</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 "MALE",orders[[#This Row],[Customer Gender]]="", "FEMALE",orders[[#This Row],[Customer Gender]]="O", "OTHERS",TRUE,"UNKNOWN")</f>
        <v>UNKNOWN</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 "MALE",orders[[#This Row],[Customer Gender]]="", "FEMALE",orders[[#This Row],[Customer Gender]]="O", "OTHERS",TRUE,"UNKNOWN")</f>
        <v>UNKNOWN</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 "MALE",orders[[#This Row],[Customer Gender]]="", "FEMALE",orders[[#This Row],[Customer Gender]]="O", "OTHERS",TRUE,"UNKNOWN")</f>
        <v>FEMALE</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 "MALE",orders[[#This Row],[Customer Gender]]="", "FEMALE",orders[[#This Row],[Customer Gender]]="O", "OTHERS",TRUE,"UNKNOWN")</f>
        <v>UNKNOWN</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 "MALE",orders[[#This Row],[Customer Gender]]="", "FEMALE",orders[[#This Row],[Customer Gender]]="O", "OTHERS",TRUE,"UNKNOWN")</f>
        <v>FEMALE</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 "MALE",orders[[#This Row],[Customer Gender]]="", "FEMALE",orders[[#This Row],[Customer Gender]]="O", "OTHERS",TRUE,"UNKNOWN")</f>
        <v>UNKNOWN</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 "MALE",orders[[#This Row],[Customer Gender]]="", "FEMALE",orders[[#This Row],[Customer Gender]]="O", "OTHERS",TRUE,"UNKNOWN")</f>
        <v>UNKNOWN</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 "MALE",orders[[#This Row],[Customer Gender]]="", "FEMALE",orders[[#This Row],[Customer Gender]]="O", "OTHERS",TRUE,"UNKNOWN")</f>
        <v>UNKNOWN</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 "MALE",orders[[#This Row],[Customer Gender]]="", "FEMALE",orders[[#This Row],[Customer Gender]]="O", "OTHERS",TRUE,"UNKNOWN")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 "MALE",orders[[#This Row],[Customer Gender]]="", "FEMALE",orders[[#This Row],[Customer Gender]]="O", "OTHERS",TRUE,"UNKNOWN")</f>
        <v>UNKNOWN</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 "MALE",orders[[#This Row],[Customer Gender]]="", "FEMALE",orders[[#This Row],[Customer Gender]]="O", "OTHERS",TRUE,"UNKNOWN")</f>
        <v>FEMALE</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 "MALE",orders[[#This Row],[Customer Gender]]="", "FEMALE",orders[[#This Row],[Customer Gender]]="O", "OTHERS",TRUE,"UNKNOWN")</f>
        <v>UNKNOWN</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 "MALE",orders[[#This Row],[Customer Gender]]="", "FEMALE",orders[[#This Row],[Customer Gender]]="O", "OTHERS",TRUE,"UNKNOWN")</f>
        <v>UNKNOWN</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 "MALE",orders[[#This Row],[Customer Gender]]="", "FEMALE",orders[[#This Row],[Customer Gender]]="O", "OTHERS",TRUE,"UNKNOWN")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 "MALE",orders[[#This Row],[Customer Gender]]="", "FEMALE",orders[[#This Row],[Customer Gender]]="O", "OTHERS",TRUE,"UNKNOWN")</f>
        <v>UNKNOWN</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 "MALE",orders[[#This Row],[Customer Gender]]="", "FEMALE",orders[[#This Row],[Customer Gender]]="O", "OTHERS",TRUE,"UNKNOWN")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 "MALE",orders[[#This Row],[Customer Gender]]="", "FEMALE",orders[[#This Row],[Customer Gender]]="O", "OTHERS",TRUE,"UNKNOWN")</f>
        <v>FEMALE</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 "MALE",orders[[#This Row],[Customer Gender]]="", "FEMALE",orders[[#This Row],[Customer Gender]]="O", "OTHERS",TRUE,"UNKNOWN")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 "MALE",orders[[#This Row],[Customer Gender]]="", "FEMALE",orders[[#This Row],[Customer Gender]]="O", "OTHERS",TRUE,"UNKNOWN")</f>
        <v>UNKNOWN</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 "MALE",orders[[#This Row],[Customer Gender]]="", "FEMALE",orders[[#This Row],[Customer Gender]]="O", "OTHERS",TRUE,"UNKNOWN")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 "MALE",orders[[#This Row],[Customer Gender]]="", "FEMALE",orders[[#This Row],[Customer Gender]]="O", "OTHERS",TRUE,"UNKNOWN")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 "MALE",orders[[#This Row],[Customer Gender]]="", "FEMALE",orders[[#This Row],[Customer Gender]]="O", "OTHERS",TRUE,"UNKNOWN")</f>
        <v>UNKNOWN</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 "MALE",orders[[#This Row],[Customer Gender]]="", "FEMALE",orders[[#This Row],[Customer Gender]]="O", "OTHERS",TRUE,"UNKNOWN")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 "MALE",orders[[#This Row],[Customer Gender]]="", "FEMALE",orders[[#This Row],[Customer Gender]]="O", "OTHERS",TRUE,"UNKNOWN")</f>
        <v>UNKNOWN</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 "MALE",orders[[#This Row],[Customer Gender]]="", "FEMALE",orders[[#This Row],[Customer Gender]]="O", "OTHERS",TRUE,"UNKNOWN")</f>
        <v>UNKNOWN</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 "MALE",orders[[#This Row],[Customer Gender]]="", "FEMALE",orders[[#This Row],[Customer Gender]]="O", "OTHERS",TRUE,"UNKNOWN")</f>
        <v>UNKNOWN</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 "MALE",orders[[#This Row],[Customer Gender]]="", "FEMALE",orders[[#This Row],[Customer Gender]]="O", "OTHERS",TRUE,"UNKNOWN")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 "MALE",orders[[#This Row],[Customer Gender]]="", "FEMALE",orders[[#This Row],[Customer Gender]]="O", "OTHERS",TRUE,"UNKNOWN")</f>
        <v>UNKNOWN</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 "MALE",orders[[#This Row],[Customer Gender]]="", "FEMALE",orders[[#This Row],[Customer Gender]]="O", "OTHERS",TRUE,"UNKNOWN")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 "MALE",orders[[#This Row],[Customer Gender]]="", "FEMALE",orders[[#This Row],[Customer Gender]]="O", "OTHERS",TRUE,"UNKNOWN")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 "MALE",orders[[#This Row],[Customer Gender]]="", "FEMALE",orders[[#This Row],[Customer Gender]]="O", "OTHERS",TRUE,"UNKNOWN")</f>
        <v>UNKNOWN</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 "MALE",orders[[#This Row],[Customer Gender]]="", "FEMALE",orders[[#This Row],[Customer Gender]]="O", "OTHERS",TRUE,"UNKNOWN")</f>
        <v>UNKNOWN</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 "MALE",orders[[#This Row],[Customer Gender]]="", "FEMALE",orders[[#This Row],[Customer Gender]]="O", "OTHERS",TRUE,"UNKNOWN")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 "MALE",orders[[#This Row],[Customer Gender]]="", "FEMALE",orders[[#This Row],[Customer Gender]]="O", "OTHERS",TRUE,"UNKNOWN")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 "MALE",orders[[#This Row],[Customer Gender]]="", "FEMALE",orders[[#This Row],[Customer Gender]]="O", "OTHERS",TRUE,"UNKNOWN")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 "MALE",orders[[#This Row],[Customer Gender]]="", "FEMALE",orders[[#This Row],[Customer Gender]]="O", "OTHERS",TRUE,"UNKNOWN")</f>
        <v>UNKNOWN</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 "MALE",orders[[#This Row],[Customer Gender]]="", "FEMALE",orders[[#This Row],[Customer Gender]]="O", "OTHERS",TRUE,"UNKNOWN")</f>
        <v>UNKNOWN</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 "MALE",orders[[#This Row],[Customer Gender]]="", "FEMALE",orders[[#This Row],[Customer Gender]]="O", "OTHERS",TRUE,"UNKNOWN")</f>
        <v>UNKNOWN</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 "MALE",orders[[#This Row],[Customer Gender]]="", "FEMALE",orders[[#This Row],[Customer Gender]]="O", "OTHERS",TRUE,"UNKNOWN")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 "MALE",orders[[#This Row],[Customer Gender]]="", "FEMALE",orders[[#This Row],[Customer Gender]]="O", "OTHERS",TRUE,"UNKNOWN")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 "MALE",orders[[#This Row],[Customer Gender]]="", "FEMALE",orders[[#This Row],[Customer Gender]]="O", "OTHERS",TRUE,"UNKNOWN")</f>
        <v>UNKNOWN</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 "MALE",orders[[#This Row],[Customer Gender]]="", "FEMALE",orders[[#This Row],[Customer Gender]]="O", "OTHERS",TRUE,"UNKNOWN")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 "MALE",orders[[#This Row],[Customer Gender]]="", "FEMALE",orders[[#This Row],[Customer Gender]]="O", "OTHERS",TRUE,"UNKNOWN")</f>
        <v>UNKNOWN</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 "MALE",orders[[#This Row],[Customer Gender]]="", "FEMALE",orders[[#This Row],[Customer Gender]]="O", "OTHERS",TRUE,"UNKNOWN")</f>
        <v>FEMALE</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 "MALE",orders[[#This Row],[Customer Gender]]="", "FEMALE",orders[[#This Row],[Customer Gender]]="O", "OTHERS",TRUE,"UNKNOWN")</f>
        <v>UNKNOWN</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 "MALE",orders[[#This Row],[Customer Gender]]="", "FEMALE",orders[[#This Row],[Customer Gender]]="O", "OTHERS",TRUE,"UNKNOWN")</f>
        <v>OTHERS</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 "MALE",orders[[#This Row],[Customer Gender]]="", "FEMALE",orders[[#This Row],[Customer Gender]]="O", "OTHERS",TRUE,"UNKNOWN")</f>
        <v>UNKNOWN</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 "MALE",orders[[#This Row],[Customer Gender]]="", "FEMALE",orders[[#This Row],[Customer Gender]]="O", "OTHERS",TRUE,"UNKNOWN")</f>
        <v>UNKNOWN</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 "MALE",orders[[#This Row],[Customer Gender]]="", "FEMALE",orders[[#This Row],[Customer Gender]]="O", "OTHERS",TRUE,"UNKNOWN")</f>
        <v>UNKNOWN</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 "MALE",orders[[#This Row],[Customer Gender]]="", "FEMALE",orders[[#This Row],[Customer Gender]]="O", "OTHERS",TRUE,"UNKNOWN")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 "MALE",orders[[#This Row],[Customer Gender]]="", "FEMALE",orders[[#This Row],[Customer Gender]]="O", "OTHERS",TRUE,"UNKNOWN")</f>
        <v>UNKNOWN</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 "MALE",orders[[#This Row],[Customer Gender]]="", "FEMALE",orders[[#This Row],[Customer Gender]]="O", "OTHERS",TRUE,"UNKNOWN")</f>
        <v>UNKNOWN</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 "MALE",orders[[#This Row],[Customer Gender]]="", "FEMALE",orders[[#This Row],[Customer Gender]]="O", "OTHERS",TRUE,"UNKNOWN")</f>
        <v>UNKNOWN</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 "MALE",orders[[#This Row],[Customer Gender]]="", "FEMALE",orders[[#This Row],[Customer Gender]]="O", "OTHERS",TRUE,"UNKNOWN")</f>
        <v>UNKNOWN</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 "MALE",orders[[#This Row],[Customer Gender]]="", "FEMALE",orders[[#This Row],[Customer Gender]]="O", "OTHERS",TRUE,"UNKNOWN")</f>
        <v>UNKNOWN</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 "MALE",orders[[#This Row],[Customer Gender]]="", "FEMALE",orders[[#This Row],[Customer Gender]]="O", "OTHERS",TRUE,"UNKNOWN")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 "MALE",orders[[#This Row],[Customer Gender]]="", "FEMALE",orders[[#This Row],[Customer Gender]]="O", "OTHERS",TRUE,"UNKNOWN")</f>
        <v>UNKNOWN</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 "MALE",orders[[#This Row],[Customer Gender]]="", "FEMALE",orders[[#This Row],[Customer Gender]]="O", "OTHERS",TRUE,"UNKNOWN")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 "MALE",orders[[#This Row],[Customer Gender]]="", "FEMALE",orders[[#This Row],[Customer Gender]]="O", "OTHERS",TRUE,"UNKNOWN")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 "MALE",orders[[#This Row],[Customer Gender]]="", "FEMALE",orders[[#This Row],[Customer Gender]]="O", "OTHERS",TRUE,"UNKNOWN")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 "MALE",orders[[#This Row],[Customer Gender]]="", "FEMALE",orders[[#This Row],[Customer Gender]]="O", "OTHERS",TRUE,"UNKNOWN")</f>
        <v>UNKNOWN</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 "MALE",orders[[#This Row],[Customer Gender]]="", "FEMALE",orders[[#This Row],[Customer Gender]]="O", "OTHERS",TRUE,"UNKNOWN")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 "MALE",orders[[#This Row],[Customer Gender]]="", "FEMALE",orders[[#This Row],[Customer Gender]]="O", "OTHERS",TRUE,"UNKNOWN")</f>
        <v>UNKNOWN</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 "MALE",orders[[#This Row],[Customer Gender]]="", "FEMALE",orders[[#This Row],[Customer Gender]]="O", "OTHERS",TRUE,"UNKNOWN")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 "MALE",orders[[#This Row],[Customer Gender]]="", "FEMALE",orders[[#This Row],[Customer Gender]]="O", "OTHERS",TRUE,"UNKNOWN")</f>
        <v>UNKNOWN</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 "MALE",orders[[#This Row],[Customer Gender]]="", "FEMALE",orders[[#This Row],[Customer Gender]]="O", "OTHERS",TRUE,"UNKNOWN")</f>
        <v>UNKNOWN</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 "MALE",orders[[#This Row],[Customer Gender]]="", "FEMALE",orders[[#This Row],[Customer Gender]]="O", "OTHERS",TRUE,"UNKNOWN")</f>
        <v>UNKNOWN</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 "MALE",orders[[#This Row],[Customer Gender]]="", "FEMALE",orders[[#This Row],[Customer Gender]]="O", "OTHERS",TRUE,"UNKNOWN")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 "MALE",orders[[#This Row],[Customer Gender]]="", "FEMALE",orders[[#This Row],[Customer Gender]]="O", "OTHERS",TRUE,"UNKNOWN")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 "MALE",orders[[#This Row],[Customer Gender]]="", "FEMALE",orders[[#This Row],[Customer Gender]]="O", "OTHERS",TRUE,"UNKNOWN")</f>
        <v>UNKNOWN</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 "MALE",orders[[#This Row],[Customer Gender]]="", "FEMALE",orders[[#This Row],[Customer Gender]]="O", "OTHERS",TRUE,"UNKNOWN")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 "MALE",orders[[#This Row],[Customer Gender]]="", "FEMALE",orders[[#This Row],[Customer Gender]]="O", "OTHERS",TRUE,"UNKNOWN")</f>
        <v>UNKNOWN</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 "MALE",orders[[#This Row],[Customer Gender]]="", "FEMALE",orders[[#This Row],[Customer Gender]]="O", "OTHERS",TRUE,"UNKNOWN")</f>
        <v>UNKNOWN</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 "MALE",orders[[#This Row],[Customer Gender]]="", "FEMALE",orders[[#This Row],[Customer Gender]]="O", "OTHERS",TRUE,"UNKNOWN")</f>
        <v>UNKNOWN</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 "MALE",orders[[#This Row],[Customer Gender]]="", "FEMALE",orders[[#This Row],[Customer Gender]]="O", "OTHERS",TRUE,"UNKNOWN")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 "MALE",orders[[#This Row],[Customer Gender]]="", "FEMALE",orders[[#This Row],[Customer Gender]]="O", "OTHERS",TRUE,"UNKNOWN")</f>
        <v>UNKNOWN</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 "MALE",orders[[#This Row],[Customer Gender]]="", "FEMALE",orders[[#This Row],[Customer Gender]]="O", "OTHERS",TRUE,"UNKNOWN")</f>
        <v>FEMALE</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 "MALE",orders[[#This Row],[Customer Gender]]="", "FEMALE",orders[[#This Row],[Customer Gender]]="O", "OTHERS",TRUE,"UNKNOWN")</f>
        <v>UNKNOWN</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 "MALE",orders[[#This Row],[Customer Gender]]="", "FEMALE",orders[[#This Row],[Customer Gender]]="O", "OTHERS",TRUE,"UNKNOWN")</f>
        <v>UNKNOWN</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 "MALE",orders[[#This Row],[Customer Gender]]="", "FEMALE",orders[[#This Row],[Customer Gender]]="O", "OTHERS",TRUE,"UNKNOWN")</f>
        <v>UNKNOWN</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 "MALE",orders[[#This Row],[Customer Gender]]="", "FEMALE",orders[[#This Row],[Customer Gender]]="O", "OTHERS",TRUE,"UNKNOWN")</f>
        <v>UNKNOWN</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 "MALE",orders[[#This Row],[Customer Gender]]="", "FEMALE",orders[[#This Row],[Customer Gender]]="O", "OTHERS",TRUE,"UNKNOWN")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 "MALE",orders[[#This Row],[Customer Gender]]="", "FEMALE",orders[[#This Row],[Customer Gender]]="O", "OTHERS",TRUE,"UNKNOWN")</f>
        <v>UNKNOWN</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 "MALE",orders[[#This Row],[Customer Gender]]="", "FEMALE",orders[[#This Row],[Customer Gender]]="O", "OTHERS",TRUE,"UNKNOWN")</f>
        <v>UNKNOWN</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 "MALE",orders[[#This Row],[Customer Gender]]="", "FEMALE",orders[[#This Row],[Customer Gender]]="O", "OTHERS",TRUE,"UNKNOWN")</f>
        <v>UNKNOWN</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 "MALE",orders[[#This Row],[Customer Gender]]="", "FEMALE",orders[[#This Row],[Customer Gender]]="O", "OTHERS",TRUE,"UNKNOWN")</f>
        <v>OTHERS</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 "MALE",orders[[#This Row],[Customer Gender]]="", "FEMALE",orders[[#This Row],[Customer Gender]]="O", "OTHERS",TRUE,"UNKNOWN")</f>
        <v>UNKNOWN</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 "MALE",orders[[#This Row],[Customer Gender]]="", "FEMALE",orders[[#This Row],[Customer Gender]]="O", "OTHERS",TRUE,"UNKNOWN")</f>
        <v>UNKNOWN</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 "MALE",orders[[#This Row],[Customer Gender]]="", "FEMALE",orders[[#This Row],[Customer Gender]]="O", "OTHERS",TRUE,"UNKNOWN")</f>
        <v>UNKNOWN</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 "MALE",orders[[#This Row],[Customer Gender]]="", "FEMALE",orders[[#This Row],[Customer Gender]]="O", "OTHERS",TRUE,"UNKNOWN")</f>
        <v>UNKNOWN</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 "MALE",orders[[#This Row],[Customer Gender]]="", "FEMALE",orders[[#This Row],[Customer Gender]]="O", "OTHERS",TRUE,"UNKNOWN")</f>
        <v>UNKNOWN</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 "MALE",orders[[#This Row],[Customer Gender]]="", "FEMALE",orders[[#This Row],[Customer Gender]]="O", "OTHERS",TRUE,"UNKNOWN")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 "MALE",orders[[#This Row],[Customer Gender]]="", "FEMALE",orders[[#This Row],[Customer Gender]]="O", "OTHERS",TRUE,"UNKNOWN")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 "MALE",orders[[#This Row],[Customer Gender]]="", "FEMALE",orders[[#This Row],[Customer Gender]]="O", "OTHERS",TRUE,"UNKNOWN")</f>
        <v>FEMALE</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 "MALE",orders[[#This Row],[Customer Gender]]="", "FEMALE",orders[[#This Row],[Customer Gender]]="O", "OTHERS",TRUE,"UNKNOWN")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 "MALE",orders[[#This Row],[Customer Gender]]="", "FEMALE",orders[[#This Row],[Customer Gender]]="O", "OTHERS",TRUE,"UNKNOWN")</f>
        <v>UNKNOWN</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 "MALE",orders[[#This Row],[Customer Gender]]="", "FEMALE",orders[[#This Row],[Customer Gender]]="O", "OTHERS",TRUE,"UNKNOWN")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 "MALE",orders[[#This Row],[Customer Gender]]="", "FEMALE",orders[[#This Row],[Customer Gender]]="O", "OTHERS",TRUE,"UNKNOWN")</f>
        <v>UNKNOWN</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 "MALE",orders[[#This Row],[Customer Gender]]="", "FEMALE",orders[[#This Row],[Customer Gender]]="O", "OTHERS",TRUE,"UNKNOWN")</f>
        <v>FEMALE</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 "MALE",orders[[#This Row],[Customer Gender]]="", "FEMALE",orders[[#This Row],[Customer Gender]]="O", "OTHERS",TRUE,"UNKNOWN")</f>
        <v>UNKNOWN</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 "MALE",orders[[#This Row],[Customer Gender]]="", "FEMALE",orders[[#This Row],[Customer Gender]]="O", "OTHERS",TRUE,"UNKNOWN")</f>
        <v>UNKNOWN</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 "MALE",orders[[#This Row],[Customer Gender]]="", "FEMALE",orders[[#This Row],[Customer Gender]]="O", "OTHERS",TRUE,"UNKNOWN")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 "MALE",orders[[#This Row],[Customer Gender]]="", "FEMALE",orders[[#This Row],[Customer Gender]]="O", "OTHERS",TRUE,"UNKNOWN")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 "MALE",orders[[#This Row],[Customer Gender]]="", "FEMALE",orders[[#This Row],[Customer Gender]]="O", "OTHERS",TRUE,"UNKNOWN")</f>
        <v>FEMALE</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 "MALE",orders[[#This Row],[Customer Gender]]="", "FEMALE",orders[[#This Row],[Customer Gender]]="O", "OTHERS",TRUE,"UNKNOWN")</f>
        <v>UNKNOWN</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 "MALE",orders[[#This Row],[Customer Gender]]="", "FEMALE",orders[[#This Row],[Customer Gender]]="O", "OTHERS",TRUE,"UNKNOWN")</f>
        <v>UNKNOWN</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 "MALE",orders[[#This Row],[Customer Gender]]="", "FEMALE",orders[[#This Row],[Customer Gender]]="O", "OTHERS",TRUE,"UNKNOWN")</f>
        <v>UNKNOWN</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 "MALE",orders[[#This Row],[Customer Gender]]="", "FEMALE",orders[[#This Row],[Customer Gender]]="O", "OTHERS",TRUE,"UNKNOWN")</f>
        <v>UNKNOWN</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 "MALE",orders[[#This Row],[Customer Gender]]="", "FEMALE",orders[[#This Row],[Customer Gender]]="O", "OTHERS",TRUE,"UNKNOWN")</f>
        <v>UNKNOWN</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 "MALE",orders[[#This Row],[Customer Gender]]="", "FEMALE",orders[[#This Row],[Customer Gender]]="O", "OTHERS",TRUE,"UNKNOWN")</f>
        <v>UNKNOWN</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 "MALE",orders[[#This Row],[Customer Gender]]="", "FEMALE",orders[[#This Row],[Customer Gender]]="O", "OTHERS",TRUE,"UNKNOWN")</f>
        <v>UNKNOWN</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 "MALE",orders[[#This Row],[Customer Gender]]="", "FEMALE",orders[[#This Row],[Customer Gender]]="O", "OTHERS",TRUE,"UNKNOWN")</f>
        <v>UNKNOWN</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 "MALE",orders[[#This Row],[Customer Gender]]="", "FEMALE",orders[[#This Row],[Customer Gender]]="O", "OTHERS",TRUE,"UNKNOWN")</f>
        <v>UNKNOWN</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 "MALE",orders[[#This Row],[Customer Gender]]="", "FEMALE",orders[[#This Row],[Customer Gender]]="O", "OTHERS",TRUE,"UNKNOWN")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 "MALE",orders[[#This Row],[Customer Gender]]="", "FEMALE",orders[[#This Row],[Customer Gender]]="O", "OTHERS",TRUE,"UNKNOWN")</f>
        <v>UNKNOWN</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 "MALE",orders[[#This Row],[Customer Gender]]="", "FEMALE",orders[[#This Row],[Customer Gender]]="O", "OTHERS",TRUE,"UNKNOWN")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 "MALE",orders[[#This Row],[Customer Gender]]="", "FEMALE",orders[[#This Row],[Customer Gender]]="O", "OTHERS",TRUE,"UNKNOWN")</f>
        <v>UNKNOWN</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 "MALE",orders[[#This Row],[Customer Gender]]="", "FEMALE",orders[[#This Row],[Customer Gender]]="O", "OTHERS",TRUE,"UNKNOWN")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 "MALE",orders[[#This Row],[Customer Gender]]="", "FEMALE",orders[[#This Row],[Customer Gender]]="O", "OTHERS",TRUE,"UNKNOWN")</f>
        <v>UNKNOWN</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 "MALE",orders[[#This Row],[Customer Gender]]="", "FEMALE",orders[[#This Row],[Customer Gender]]="O", "OTHERS",TRUE,"UNKNOWN")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 "MALE",orders[[#This Row],[Customer Gender]]="", "FEMALE",orders[[#This Row],[Customer Gender]]="O", "OTHERS",TRUE,"UNKNOWN")</f>
        <v>UNKNOWN</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 "MALE",orders[[#This Row],[Customer Gender]]="", "FEMALE",orders[[#This Row],[Customer Gender]]="O", "OTHERS",TRUE,"UNKNOWN")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 "MALE",orders[[#This Row],[Customer Gender]]="", "FEMALE",orders[[#This Row],[Customer Gender]]="O", "OTHERS",TRUE,"UNKNOWN")</f>
        <v>FEMALE</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 "MALE",orders[[#This Row],[Customer Gender]]="", "FEMALE",orders[[#This Row],[Customer Gender]]="O", "OTHERS",TRUE,"UNKNOWN")</f>
        <v>UNKNOWN</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 "MALE",orders[[#This Row],[Customer Gender]]="", "FEMALE",orders[[#This Row],[Customer Gender]]="O", "OTHERS",TRUE,"UNKNOWN")</f>
        <v>UNKNOWN</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 "MALE",orders[[#This Row],[Customer Gender]]="", "FEMALE",orders[[#This Row],[Customer Gender]]="O", "OTHERS",TRUE,"UNKNOWN")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 "MALE",orders[[#This Row],[Customer Gender]]="", "FEMALE",orders[[#This Row],[Customer Gender]]="O", "OTHERS",TRUE,"UNKNOWN")</f>
        <v>UNKNOWN</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 "MALE",orders[[#This Row],[Customer Gender]]="", "FEMALE",orders[[#This Row],[Customer Gender]]="O", "OTHERS",TRUE,"UNKNOWN")</f>
        <v>FEMALE</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 "MALE",orders[[#This Row],[Customer Gender]]="", "FEMALE",orders[[#This Row],[Customer Gender]]="O", "OTHERS",TRUE,"UNKNOWN")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 "MALE",orders[[#This Row],[Customer Gender]]="", "FEMALE",orders[[#This Row],[Customer Gender]]="O", "OTHERS",TRUE,"UNKNOWN")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 "MALE",orders[[#This Row],[Customer Gender]]="", "FEMALE",orders[[#This Row],[Customer Gender]]="O", "OTHERS",TRUE,"UNKNOWN")</f>
        <v>UNKNOWN</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 "MALE",orders[[#This Row],[Customer Gender]]="", "FEMALE",orders[[#This Row],[Customer Gender]]="O", "OTHERS",TRUE,"UNKNOWN")</f>
        <v>UNKNOWN</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 "MALE",orders[[#This Row],[Customer Gender]]="", "FEMALE",orders[[#This Row],[Customer Gender]]="O", "OTHERS",TRUE,"UNKNOWN")</f>
        <v>UNKNOWN</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 "MALE",orders[[#This Row],[Customer Gender]]="", "FEMALE",orders[[#This Row],[Customer Gender]]="O", "OTHERS",TRUE,"UNKNOWN")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 "MALE",orders[[#This Row],[Customer Gender]]="", "FEMALE",orders[[#This Row],[Customer Gender]]="O", "OTHERS",TRUE,"UNKNOWN")</f>
        <v>UNKNOWN</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 "MALE",orders[[#This Row],[Customer Gender]]="", "FEMALE",orders[[#This Row],[Customer Gender]]="O", "OTHERS",TRUE,"UNKNOWN")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 "MALE",orders[[#This Row],[Customer Gender]]="", "FEMALE",orders[[#This Row],[Customer Gender]]="O", "OTHERS",TRUE,"UNKNOWN")</f>
        <v>UNKNOWN</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 "MALE",orders[[#This Row],[Customer Gender]]="", "FEMALE",orders[[#This Row],[Customer Gender]]="O", "OTHERS",TRUE,"UNKNOWN")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 "MALE",orders[[#This Row],[Customer Gender]]="", "FEMALE",orders[[#This Row],[Customer Gender]]="O", "OTHERS",TRUE,"UNKNOWN")</f>
        <v>UNKNOWN</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 "MALE",orders[[#This Row],[Customer Gender]]="", "FEMALE",orders[[#This Row],[Customer Gender]]="O", "OTHERS",TRUE,"UNKNOWN")</f>
        <v>UNKNOWN</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 "MALE",orders[[#This Row],[Customer Gender]]="", "FEMALE",orders[[#This Row],[Customer Gender]]="O", "OTHERS",TRUE,"UNKNOWN")</f>
        <v>UNKNOWN</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 "MALE",orders[[#This Row],[Customer Gender]]="", "FEMALE",orders[[#This Row],[Customer Gender]]="O", "OTHERS",TRUE,"UNKNOWN")</f>
        <v>UNKNOWN</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 "MALE",orders[[#This Row],[Customer Gender]]="", "FEMALE",orders[[#This Row],[Customer Gender]]="O", "OTHERS",TRUE,"UNKNOWN")</f>
        <v>UNKNOWN</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 "MALE",orders[[#This Row],[Customer Gender]]="", "FEMALE",orders[[#This Row],[Customer Gender]]="O", "OTHERS",TRUE,"UNKNOWN")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 "MALE",orders[[#This Row],[Customer Gender]]="", "FEMALE",orders[[#This Row],[Customer Gender]]="O", "OTHERS",TRUE,"UNKNOWN")</f>
        <v>UNKNOWN</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 "MALE",orders[[#This Row],[Customer Gender]]="", "FEMALE",orders[[#This Row],[Customer Gender]]="O", "OTHERS",TRUE,"UNKNOWN")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 "MALE",orders[[#This Row],[Customer Gender]]="", "FEMALE",orders[[#This Row],[Customer Gender]]="O", "OTHERS",TRUE,"UNKNOWN")</f>
        <v>UNKNOWN</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 "MALE",orders[[#This Row],[Customer Gender]]="", "FEMALE",orders[[#This Row],[Customer Gender]]="O", "OTHERS",TRUE,"UNKNOWN")</f>
        <v>UNKNOWN</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 "MALE",orders[[#This Row],[Customer Gender]]="", "FEMALE",orders[[#This Row],[Customer Gender]]="O", "OTHERS",TRUE,"UNKNOWN")</f>
        <v>UNKNOWN</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 "MALE",orders[[#This Row],[Customer Gender]]="", "FEMALE",orders[[#This Row],[Customer Gender]]="O", "OTHERS",TRUE,"UNKNOWN")</f>
        <v>UNKNOWN</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 "MALE",orders[[#This Row],[Customer Gender]]="", "FEMALE",orders[[#This Row],[Customer Gender]]="O", "OTHERS",TRUE,"UNKNOWN")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 "MALE",orders[[#This Row],[Customer Gender]]="", "FEMALE",orders[[#This Row],[Customer Gender]]="O", "OTHERS",TRUE,"UNKNOWN")</f>
        <v>UNKNOWN</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 "MALE",orders[[#This Row],[Customer Gender]]="", "FEMALE",orders[[#This Row],[Customer Gender]]="O", "OTHERS",TRUE,"UNKNOWN")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 "MALE",orders[[#This Row],[Customer Gender]]="", "FEMALE",orders[[#This Row],[Customer Gender]]="O", "OTHERS",TRUE,"UNKNOWN")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 "MALE",orders[[#This Row],[Customer Gender]]="", "FEMALE",orders[[#This Row],[Customer Gender]]="O", "OTHERS",TRUE,"UNKNOWN")</f>
        <v>UNKNOWN</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 "MALE",orders[[#This Row],[Customer Gender]]="", "FEMALE",orders[[#This Row],[Customer Gender]]="O", "OTHERS",TRUE,"UNKNOWN")</f>
        <v>UNKNOWN</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 "MALE",orders[[#This Row],[Customer Gender]]="", "FEMALE",orders[[#This Row],[Customer Gender]]="O", "OTHERS",TRUE,"UNKNOWN")</f>
        <v>UNKNOWN</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 "MALE",orders[[#This Row],[Customer Gender]]="", "FEMALE",orders[[#This Row],[Customer Gender]]="O", "OTHERS",TRUE,"UNKNOWN")</f>
        <v>UNKNOWN</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 "MALE",orders[[#This Row],[Customer Gender]]="", "FEMALE",orders[[#This Row],[Customer Gender]]="O", "OTHERS",TRUE,"UNKNOWN")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 "MALE",orders[[#This Row],[Customer Gender]]="", "FEMALE",orders[[#This Row],[Customer Gender]]="O", "OTHERS",TRUE,"UNKNOWN")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 "MALE",orders[[#This Row],[Customer Gender]]="", "FEMALE",orders[[#This Row],[Customer Gender]]="O", "OTHERS",TRUE,"UNKNOWN")</f>
        <v>UNKNOWN</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 "MALE",orders[[#This Row],[Customer Gender]]="", "FEMALE",orders[[#This Row],[Customer Gender]]="O", "OTHERS",TRUE,"UNKNOWN")</f>
        <v>UNKNOWN</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 "MALE",orders[[#This Row],[Customer Gender]]="", "FEMALE",orders[[#This Row],[Customer Gender]]="O", "OTHERS",TRUE,"UNKNOWN")</f>
        <v>UNKNOWN</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 "MALE",orders[[#This Row],[Customer Gender]]="", "FEMALE",orders[[#This Row],[Customer Gender]]="O", "OTHERS",TRUE,"UNKNOWN")</f>
        <v>UNKNOWN</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 "MALE",orders[[#This Row],[Customer Gender]]="", "FEMALE",orders[[#This Row],[Customer Gender]]="O", "OTHERS",TRUE,"UNKNOWN")</f>
        <v>UNKNOWN</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 "MALE",orders[[#This Row],[Customer Gender]]="", "FEMALE",orders[[#This Row],[Customer Gender]]="O", "OTHERS",TRUE,"UNKNOWN")</f>
        <v>UNKNOWN</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 "MALE",orders[[#This Row],[Customer Gender]]="", "FEMALE",orders[[#This Row],[Customer Gender]]="O", "OTHERS",TRUE,"UNKNOWN")</f>
        <v>FEMALE</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 "MALE",orders[[#This Row],[Customer Gender]]="", "FEMALE",orders[[#This Row],[Customer Gender]]="O", "OTHERS",TRUE,"UNKNOWN")</f>
        <v>UNKNOWN</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 "MALE",orders[[#This Row],[Customer Gender]]="", "FEMALE",orders[[#This Row],[Customer Gender]]="O", "OTHERS",TRUE,"UNKNOWN")</f>
        <v>UNKNOWN</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 "MALE",orders[[#This Row],[Customer Gender]]="", "FEMALE",orders[[#This Row],[Customer Gender]]="O", "OTHERS",TRUE,"UNKNOWN")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 "MALE",orders[[#This Row],[Customer Gender]]="", "FEMALE",orders[[#This Row],[Customer Gender]]="O", "OTHERS",TRUE,"UNKNOWN")</f>
        <v>UNKNOWN</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 "MALE",orders[[#This Row],[Customer Gender]]="", "FEMALE",orders[[#This Row],[Customer Gender]]="O", "OTHERS",TRUE,"UNKNOWN")</f>
        <v>OTHERS</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 "MALE",orders[[#This Row],[Customer Gender]]="", "FEMALE",orders[[#This Row],[Customer Gender]]="O", "OTHERS",TRUE,"UNKNOWN")</f>
        <v>FEMALE</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 "MALE",orders[[#This Row],[Customer Gender]]="", "FEMALE",orders[[#This Row],[Customer Gender]]="O", "OTHERS",TRUE,"UNKNOWN")</f>
        <v>UNKNOWN</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 "MALE",orders[[#This Row],[Customer Gender]]="", "FEMALE",orders[[#This Row],[Customer Gender]]="O", "OTHERS",TRUE,"UNKNOWN")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 "MALE",orders[[#This Row],[Customer Gender]]="", "FEMALE",orders[[#This Row],[Customer Gender]]="O", "OTHERS",TRUE,"UNKNOWN")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 "MALE",orders[[#This Row],[Customer Gender]]="", "FEMALE",orders[[#This Row],[Customer Gender]]="O", "OTHERS",TRUE,"UNKNOWN")</f>
        <v>FEMALE</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 "MALE",orders[[#This Row],[Customer Gender]]="", "FEMALE",orders[[#This Row],[Customer Gender]]="O", "OTHERS",TRUE,"UNKNOWN")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 "MALE",orders[[#This Row],[Customer Gender]]="", "FEMALE",orders[[#This Row],[Customer Gender]]="O", "OTHERS",TRUE,"UNKNOWN")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 "MALE",orders[[#This Row],[Customer Gender]]="", "FEMALE",orders[[#This Row],[Customer Gender]]="O", "OTHERS",TRUE,"UNKNOWN")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 "MALE",orders[[#This Row],[Customer Gender]]="", "FEMALE",orders[[#This Row],[Customer Gender]]="O", "OTHERS",TRUE,"UNKNOWN")</f>
        <v>FEMALE</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 "MALE",orders[[#This Row],[Customer Gender]]="", "FEMALE",orders[[#This Row],[Customer Gender]]="O", "OTHERS",TRUE,"UNKNOWN")</f>
        <v>UNKNOWN</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 "MALE",orders[[#This Row],[Customer Gender]]="", "FEMALE",orders[[#This Row],[Customer Gender]]="O", "OTHERS",TRUE,"UNKNOWN")</f>
        <v>UNKNOWN</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 "MALE",orders[[#This Row],[Customer Gender]]="", "FEMALE",orders[[#This Row],[Customer Gender]]="O", "OTHERS",TRUE,"UNKNOWN")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 "MALE",orders[[#This Row],[Customer Gender]]="", "FEMALE",orders[[#This Row],[Customer Gender]]="O", "OTHERS",TRUE,"UNKNOWN")</f>
        <v>UNKNOWN</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 "MALE",orders[[#This Row],[Customer Gender]]="", "FEMALE",orders[[#This Row],[Customer Gender]]="O", "OTHERS",TRUE,"UNKNOWN")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 "MALE",orders[[#This Row],[Customer Gender]]="", "FEMALE",orders[[#This Row],[Customer Gender]]="O", "OTHERS",TRUE,"UNKNOWN")</f>
        <v>UNKNOWN</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 "MALE",orders[[#This Row],[Customer Gender]]="", "FEMALE",orders[[#This Row],[Customer Gender]]="O", "OTHERS",TRUE,"UNKNOWN")</f>
        <v>FEMALE</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 "MALE",orders[[#This Row],[Customer Gender]]="", "FEMALE",orders[[#This Row],[Customer Gender]]="O", "OTHERS",TRUE,"UNKNOWN")</f>
        <v>OTHERS</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 "MALE",orders[[#This Row],[Customer Gender]]="", "FEMALE",orders[[#This Row],[Customer Gender]]="O", "OTHERS",TRUE,"UNKNOWN")</f>
        <v>UNKNOWN</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 "MALE",orders[[#This Row],[Customer Gender]]="", "FEMALE",orders[[#This Row],[Customer Gender]]="O", "OTHERS",TRUE,"UNKNOWN")</f>
        <v>UNKNOWN</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 "MALE",orders[[#This Row],[Customer Gender]]="", "FEMALE",orders[[#This Row],[Customer Gender]]="O", "OTHERS",TRUE,"UNKNOWN")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 "MALE",orders[[#This Row],[Customer Gender]]="", "FEMALE",orders[[#This Row],[Customer Gender]]="O", "OTHERS",TRUE,"UNKNOWN")</f>
        <v>FEMALE</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 "MALE",orders[[#This Row],[Customer Gender]]="", "FEMALE",orders[[#This Row],[Customer Gender]]="O", "OTHERS",TRUE,"UNKNOWN")</f>
        <v>UNKNOWN</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 "MALE",orders[[#This Row],[Customer Gender]]="", "FEMALE",orders[[#This Row],[Customer Gender]]="O", "OTHERS",TRUE,"UNKNOWN")</f>
        <v>UNKNOWN</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 "MALE",orders[[#This Row],[Customer Gender]]="", "FEMALE",orders[[#This Row],[Customer Gender]]="O", "OTHERS",TRUE,"UNKNOWN")</f>
        <v>UNKNOWN</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 "MALE",orders[[#This Row],[Customer Gender]]="", "FEMALE",orders[[#This Row],[Customer Gender]]="O", "OTHERS",TRUE,"UNKNOWN")</f>
        <v>UNKNOWN</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 "MALE",orders[[#This Row],[Customer Gender]]="", "FEMALE",orders[[#This Row],[Customer Gender]]="O", "OTHERS",TRUE,"UNKNOWN")</f>
        <v>UNKNOWN</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 "MALE",orders[[#This Row],[Customer Gender]]="", "FEMALE",orders[[#This Row],[Customer Gender]]="O", "OTHERS",TRUE,"UNKNOWN")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 "MALE",orders[[#This Row],[Customer Gender]]="", "FEMALE",orders[[#This Row],[Customer Gender]]="O", "OTHERS",TRUE,"UNKNOWN")</f>
        <v>UNKNOWN</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 "MALE",orders[[#This Row],[Customer Gender]]="", "FEMALE",orders[[#This Row],[Customer Gender]]="O", "OTHERS",TRUE,"UNKNOWN")</f>
        <v>UNKNOWN</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 "MALE",orders[[#This Row],[Customer Gender]]="", "FEMALE",orders[[#This Row],[Customer Gender]]="O", "OTHERS",TRUE,"UNKNOWN")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 "MALE",orders[[#This Row],[Customer Gender]]="", "FEMALE",orders[[#This Row],[Customer Gender]]="O", "OTHERS",TRUE,"UNKNOWN")</f>
        <v>UNKNOWN</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 "MALE",orders[[#This Row],[Customer Gender]]="", "FEMALE",orders[[#This Row],[Customer Gender]]="O", "OTHERS",TRUE,"UNKNOWN")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 "MALE",orders[[#This Row],[Customer Gender]]="", "FEMALE",orders[[#This Row],[Customer Gender]]="O", "OTHERS",TRUE,"UNKNOWN")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 "MALE",orders[[#This Row],[Customer Gender]]="", "FEMALE",orders[[#This Row],[Customer Gender]]="O", "OTHERS",TRUE,"UNKNOWN")</f>
        <v>UNKNOWN</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 "MALE",orders[[#This Row],[Customer Gender]]="", "FEMALE",orders[[#This Row],[Customer Gender]]="O", "OTHERS",TRUE,"UNKNOWN")</f>
        <v>UNKNOWN</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 "MALE",orders[[#This Row],[Customer Gender]]="", "FEMALE",orders[[#This Row],[Customer Gender]]="O", "OTHERS",TRUE,"UNKNOWN")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 "MALE",orders[[#This Row],[Customer Gender]]="", "FEMALE",orders[[#This Row],[Customer Gender]]="O", "OTHERS",TRUE,"UNKNOWN")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 "MALE",orders[[#This Row],[Customer Gender]]="", "FEMALE",orders[[#This Row],[Customer Gender]]="O", "OTHERS",TRUE,"UNKNOWN")</f>
        <v>FEMALE</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 "MALE",orders[[#This Row],[Customer Gender]]="", "FEMALE",orders[[#This Row],[Customer Gender]]="O", "OTHERS",TRUE,"UNKNOWN")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 "MALE",orders[[#This Row],[Customer Gender]]="", "FEMALE",orders[[#This Row],[Customer Gender]]="O", "OTHERS",TRUE,"UNKNOWN")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 "MALE",orders[[#This Row],[Customer Gender]]="", "FEMALE",orders[[#This Row],[Customer Gender]]="O", "OTHERS",TRUE,"UNKNOWN")</f>
        <v>UNKNOWN</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 "MALE",orders[[#This Row],[Customer Gender]]="", "FEMALE",orders[[#This Row],[Customer Gender]]="O", "OTHERS",TRUE,"UNKNOWN")</f>
        <v>UNKNOWN</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 "MALE",orders[[#This Row],[Customer Gender]]="", "FEMALE",orders[[#This Row],[Customer Gender]]="O", "OTHERS",TRUE,"UNKNOWN")</f>
        <v>UNKNOWN</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 "MALE",orders[[#This Row],[Customer Gender]]="", "FEMALE",orders[[#This Row],[Customer Gender]]="O", "OTHERS",TRUE,"UNKNOWN")</f>
        <v>UNKNOWN</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 "MALE",orders[[#This Row],[Customer Gender]]="", "FEMALE",orders[[#This Row],[Customer Gender]]="O", "OTHERS",TRUE,"UNKNOWN")</f>
        <v>UNKNOWN</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 "MALE",orders[[#This Row],[Customer Gender]]="", "FEMALE",orders[[#This Row],[Customer Gender]]="O", "OTHERS",TRUE,"UNKNOWN")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 "MALE",orders[[#This Row],[Customer Gender]]="", "FEMALE",orders[[#This Row],[Customer Gender]]="O", "OTHERS",TRUE,"UNKNOWN")</f>
        <v>UNKNOWN</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 "MALE",orders[[#This Row],[Customer Gender]]="", "FEMALE",orders[[#This Row],[Customer Gender]]="O", "OTHERS",TRUE,"UNKNOWN")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 "MALE",orders[[#This Row],[Customer Gender]]="", "FEMALE",orders[[#This Row],[Customer Gender]]="O", "OTHERS",TRUE,"UNKNOWN")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 "MALE",orders[[#This Row],[Customer Gender]]="", "FEMALE",orders[[#This Row],[Customer Gender]]="O", "OTHERS",TRUE,"UNKNOWN")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 "MALE",orders[[#This Row],[Customer Gender]]="", "FEMALE",orders[[#This Row],[Customer Gender]]="O", "OTHERS",TRUE,"UNKNOWN")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 "MALE",orders[[#This Row],[Customer Gender]]="", "FEMALE",orders[[#This Row],[Customer Gender]]="O", "OTHERS",TRUE,"UNKNOWN")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 "MALE",orders[[#This Row],[Customer Gender]]="", "FEMALE",orders[[#This Row],[Customer Gender]]="O", "OTHERS",TRUE,"UNKNOWN")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 "MALE",orders[[#This Row],[Customer Gender]]="", "FEMALE",orders[[#This Row],[Customer Gender]]="O", "OTHERS",TRUE,"UNKNOWN")</f>
        <v>UNKNOWN</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 "MALE",orders[[#This Row],[Customer Gender]]="", "FEMALE",orders[[#This Row],[Customer Gender]]="O", "OTHERS",TRUE,"UNKNOWN")</f>
        <v>UNKNOWN</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 "MALE",orders[[#This Row],[Customer Gender]]="", "FEMALE",orders[[#This Row],[Customer Gender]]="O", "OTHERS",TRUE,"UNKNOWN")</f>
        <v>UNKNOWN</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 "MALE",orders[[#This Row],[Customer Gender]]="", "FEMALE",orders[[#This Row],[Customer Gender]]="O", "OTHERS",TRUE,"UNKNOWN")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 "MALE",orders[[#This Row],[Customer Gender]]="", "FEMALE",orders[[#This Row],[Customer Gender]]="O", "OTHERS",TRUE,"UNKNOWN")</f>
        <v>UNKNOWN</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 "MALE",orders[[#This Row],[Customer Gender]]="", "FEMALE",orders[[#This Row],[Customer Gender]]="O", "OTHERS",TRUE,"UNKNOWN")</f>
        <v>UNKNOWN</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 "MALE",orders[[#This Row],[Customer Gender]]="", "FEMALE",orders[[#This Row],[Customer Gender]]="O", "OTHERS",TRUE,"UNKNOWN")</f>
        <v>UNKNOWN</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 "MALE",orders[[#This Row],[Customer Gender]]="", "FEMALE",orders[[#This Row],[Customer Gender]]="O", "OTHERS",TRUE,"UNKNOWN")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 "MALE",orders[[#This Row],[Customer Gender]]="", "FEMALE",orders[[#This Row],[Customer Gender]]="O", "OTHERS",TRUE,"UNKNOWN")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 "MALE",orders[[#This Row],[Customer Gender]]="", "FEMALE",orders[[#This Row],[Customer Gender]]="O", "OTHERS",TRUE,"UNKNOWN")</f>
        <v>UNKNOWN</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 "MALE",orders[[#This Row],[Customer Gender]]="", "FEMALE",orders[[#This Row],[Customer Gender]]="O", "OTHERS",TRUE,"UNKNOWN")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 "MALE",orders[[#This Row],[Customer Gender]]="", "FEMALE",orders[[#This Row],[Customer Gender]]="O", "OTHERS",TRUE,"UNKNOWN")</f>
        <v>UNKNOWN</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 "MALE",orders[[#This Row],[Customer Gender]]="", "FEMALE",orders[[#This Row],[Customer Gender]]="O", "OTHERS",TRUE,"UNKNOWN")</f>
        <v>UNKNOWN</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 "MALE",orders[[#This Row],[Customer Gender]]="", "FEMALE",orders[[#This Row],[Customer Gender]]="O", "OTHERS",TRUE,"UNKNOWN")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 "MALE",orders[[#This Row],[Customer Gender]]="", "FEMALE",orders[[#This Row],[Customer Gender]]="O", "OTHERS",TRUE,"UNKNOWN")</f>
        <v>UNKNOWN</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 "MALE",orders[[#This Row],[Customer Gender]]="", "FEMALE",orders[[#This Row],[Customer Gender]]="O", "OTHERS",TRUE,"UNKNOWN")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 "MALE",orders[[#This Row],[Customer Gender]]="", "FEMALE",orders[[#This Row],[Customer Gender]]="O", "OTHERS",TRUE,"UNKNOWN")</f>
        <v>UNKNOWN</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 "MALE",orders[[#This Row],[Customer Gender]]="", "FEMALE",orders[[#This Row],[Customer Gender]]="O", "OTHERS",TRUE,"UNKNOWN")</f>
        <v>UNKNOWN</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 "MALE",orders[[#This Row],[Customer Gender]]="", "FEMALE",orders[[#This Row],[Customer Gender]]="O", "OTHERS",TRUE,"UNKNOWN")</f>
        <v>UNKNOWN</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 "MALE",orders[[#This Row],[Customer Gender]]="", "FEMALE",orders[[#This Row],[Customer Gender]]="O", "OTHERS",TRUE,"UNKNOWN")</f>
        <v>UNKNOWN</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 "MALE",orders[[#This Row],[Customer Gender]]="", "FEMALE",orders[[#This Row],[Customer Gender]]="O", "OTHERS",TRUE,"UNKNOWN")</f>
        <v>UNKNOWN</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 "MALE",orders[[#This Row],[Customer Gender]]="", "FEMALE",orders[[#This Row],[Customer Gender]]="O", "OTHERS",TRUE,"UNKNOWN")</f>
        <v>UNKNOWN</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 "MALE",orders[[#This Row],[Customer Gender]]="", "FEMALE",orders[[#This Row],[Customer Gender]]="O", "OTHERS",TRUE,"UNKNOWN")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 "MALE",orders[[#This Row],[Customer Gender]]="", "FEMALE",orders[[#This Row],[Customer Gender]]="O", "OTHERS",TRUE,"UNKNOWN")</f>
        <v>UNKNOWN</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 "MALE",orders[[#This Row],[Customer Gender]]="", "FEMALE",orders[[#This Row],[Customer Gender]]="O", "OTHERS",TRUE,"UNKNOWN")</f>
        <v>UNKNOWN</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 "MALE",orders[[#This Row],[Customer Gender]]="", "FEMALE",orders[[#This Row],[Customer Gender]]="O", "OTHERS",TRUE,"UNKNOWN")</f>
        <v>UNKNOWN</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 "MALE",orders[[#This Row],[Customer Gender]]="", "FEMALE",orders[[#This Row],[Customer Gender]]="O", "OTHERS",TRUE,"UNKNOWN")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 "MALE",orders[[#This Row],[Customer Gender]]="", "FEMALE",orders[[#This Row],[Customer Gender]]="O", "OTHERS",TRUE,"UNKNOWN")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 "MALE",orders[[#This Row],[Customer Gender]]="", "FEMALE",orders[[#This Row],[Customer Gender]]="O", "OTHERS",TRUE,"UNKNOWN")</f>
        <v>FEMALE</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 "MALE",orders[[#This Row],[Customer Gender]]="", "FEMALE",orders[[#This Row],[Customer Gender]]="O", "OTHERS",TRUE,"UNKNOWN")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 "MALE",orders[[#This Row],[Customer Gender]]="", "FEMALE",orders[[#This Row],[Customer Gender]]="O", "OTHERS",TRUE,"UNKNOWN")</f>
        <v>UNKNOWN</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 "MALE",orders[[#This Row],[Customer Gender]]="", "FEMALE",orders[[#This Row],[Customer Gender]]="O", "OTHERS",TRUE,"UNKNOWN")</f>
        <v>UNKNOWN</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 "MALE",orders[[#This Row],[Customer Gender]]="", "FEMALE",orders[[#This Row],[Customer Gender]]="O", "OTHERS",TRUE,"UNKNOWN")</f>
        <v>FEMALE</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 "MALE",orders[[#This Row],[Customer Gender]]="", "FEMALE",orders[[#This Row],[Customer Gender]]="O", "OTHERS",TRUE,"UNKNOWN")</f>
        <v>UNKNOWN</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 "MALE",orders[[#This Row],[Customer Gender]]="", "FEMALE",orders[[#This Row],[Customer Gender]]="O", "OTHERS",TRUE,"UNKNOWN")</f>
        <v>OTHERS</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 "MALE",orders[[#This Row],[Customer Gender]]="", "FEMALE",orders[[#This Row],[Customer Gender]]="O", "OTHERS",TRUE,"UNKNOWN")</f>
        <v>UNKNOWN</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 "MALE",orders[[#This Row],[Customer Gender]]="", "FEMALE",orders[[#This Row],[Customer Gender]]="O", "OTHERS",TRUE,"UNKNOWN")</f>
        <v>UNKNOWN</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 "MALE",orders[[#This Row],[Customer Gender]]="", "FEMALE",orders[[#This Row],[Customer Gender]]="O", "OTHERS",TRUE,"UNKNOWN")</f>
        <v>UNKNOWN</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 "MALE",orders[[#This Row],[Customer Gender]]="", "FEMALE",orders[[#This Row],[Customer Gender]]="O", "OTHERS",TRUE,"UNKNOWN")</f>
        <v>UNKNOWN</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 "MALE",orders[[#This Row],[Customer Gender]]="", "FEMALE",orders[[#This Row],[Customer Gender]]="O", "OTHERS",TRUE,"UNKNOWN")</f>
        <v>UNKNOWN</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 "MALE",orders[[#This Row],[Customer Gender]]="", "FEMALE",orders[[#This Row],[Customer Gender]]="O", "OTHERS",TRUE,"UNKNOWN")</f>
        <v>UNKNOWN</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 "MALE",orders[[#This Row],[Customer Gender]]="", "FEMALE",orders[[#This Row],[Customer Gender]]="O", "OTHERS",TRUE,"UNKNOWN")</f>
        <v>UNKNOWN</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 "MALE",orders[[#This Row],[Customer Gender]]="", "FEMALE",orders[[#This Row],[Customer Gender]]="O", "OTHERS",TRUE,"UNKNOWN")</f>
        <v>UNKNOWN</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 "MALE",orders[[#This Row],[Customer Gender]]="", "FEMALE",orders[[#This Row],[Customer Gender]]="O", "OTHERS",TRUE,"UNKNOWN")</f>
        <v>UNKNOWN</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 "MALE",orders[[#This Row],[Customer Gender]]="", "FEMALE",orders[[#This Row],[Customer Gender]]="O", "OTHERS",TRUE,"UNKNOWN")</f>
        <v>UNKNOWN</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 "MALE",orders[[#This Row],[Customer Gender]]="", "FEMALE",orders[[#This Row],[Customer Gender]]="O", "OTHERS",TRUE,"UNKNOWN")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 "MALE",orders[[#This Row],[Customer Gender]]="", "FEMALE",orders[[#This Row],[Customer Gender]]="O", "OTHERS",TRUE,"UNKNOWN")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 "MALE",orders[[#This Row],[Customer Gender]]="", "FEMALE",orders[[#This Row],[Customer Gender]]="O", "OTHERS",TRUE,"UNKNOWN")</f>
        <v>UNKNOWN</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 "MALE",orders[[#This Row],[Customer Gender]]="", "FEMALE",orders[[#This Row],[Customer Gender]]="O", "OTHERS",TRUE,"UNKNOWN")</f>
        <v>UNKNOWN</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 "MALE",orders[[#This Row],[Customer Gender]]="", "FEMALE",orders[[#This Row],[Customer Gender]]="O", "OTHERS",TRUE,"UNKNOWN")</f>
        <v>FEMALE</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 "MALE",orders[[#This Row],[Customer Gender]]="", "FEMALE",orders[[#This Row],[Customer Gender]]="O", "OTHERS",TRUE,"UNKNOWN")</f>
        <v>UNKNOWN</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 "MALE",orders[[#This Row],[Customer Gender]]="", "FEMALE",orders[[#This Row],[Customer Gender]]="O", "OTHERS",TRUE,"UNKNOWN")</f>
        <v>OTHERS</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 "MALE",orders[[#This Row],[Customer Gender]]="", "FEMALE",orders[[#This Row],[Customer Gender]]="O", "OTHERS",TRUE,"UNKNOWN")</f>
        <v>UNKNOWN</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 "MALE",orders[[#This Row],[Customer Gender]]="", "FEMALE",orders[[#This Row],[Customer Gender]]="O", "OTHERS",TRUE,"UNKNOWN")</f>
        <v>OTHERS</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 "MALE",orders[[#This Row],[Customer Gender]]="", "FEMALE",orders[[#This Row],[Customer Gender]]="O", "OTHERS",TRUE,"UNKNOWN")</f>
        <v>FEMALE</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 "MALE",orders[[#This Row],[Customer Gender]]="", "FEMALE",orders[[#This Row],[Customer Gender]]="O", "OTHERS",TRUE,"UNKNOWN")</f>
        <v>UNKNOWN</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 "MALE",orders[[#This Row],[Customer Gender]]="", "FEMALE",orders[[#This Row],[Customer Gender]]="O", "OTHERS",TRUE,"UNKNOWN")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 "MALE",orders[[#This Row],[Customer Gender]]="", "FEMALE",orders[[#This Row],[Customer Gender]]="O", "OTHERS",TRUE,"UNKNOWN")</f>
        <v>UNKNOWN</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 "MALE",orders[[#This Row],[Customer Gender]]="", "FEMALE",orders[[#This Row],[Customer Gender]]="O", "OTHERS",TRUE,"UNKNOWN")</f>
        <v>UNKNOWN</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 "MALE",orders[[#This Row],[Customer Gender]]="", "FEMALE",orders[[#This Row],[Customer Gender]]="O", "OTHERS",TRUE,"UNKNOWN")</f>
        <v>FEMALE</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 "MALE",orders[[#This Row],[Customer Gender]]="", "FEMALE",orders[[#This Row],[Customer Gender]]="O", "OTHERS",TRUE,"UNKNOWN")</f>
        <v>UNKNOWN</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 "MALE",orders[[#This Row],[Customer Gender]]="", "FEMALE",orders[[#This Row],[Customer Gender]]="O", "OTHERS",TRUE,"UNKNOWN")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 "MALE",orders[[#This Row],[Customer Gender]]="", "FEMALE",orders[[#This Row],[Customer Gender]]="O", "OTHERS",TRUE,"UNKNOWN")</f>
        <v>UNKNOWN</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 "MALE",orders[[#This Row],[Customer Gender]]="", "FEMALE",orders[[#This Row],[Customer Gender]]="O", "OTHERS",TRUE,"UNKNOWN")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 "MALE",orders[[#This Row],[Customer Gender]]="", "FEMALE",orders[[#This Row],[Customer Gender]]="O", "OTHERS",TRUE,"UNKNOWN")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 "MALE",orders[[#This Row],[Customer Gender]]="", "FEMALE",orders[[#This Row],[Customer Gender]]="O", "OTHERS",TRUE,"UNKNOWN")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 "MALE",orders[[#This Row],[Customer Gender]]="", "FEMALE",orders[[#This Row],[Customer Gender]]="O", "OTHERS",TRUE,"UNKNOWN")</f>
        <v>UNKNOWN</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 "MALE",orders[[#This Row],[Customer Gender]]="", "FEMALE",orders[[#This Row],[Customer Gender]]="O", "OTHERS",TRUE,"UNKNOWN")</f>
        <v>UNKNOWN</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 "MALE",orders[[#This Row],[Customer Gender]]="", "FEMALE",orders[[#This Row],[Customer Gender]]="O", "OTHERS",TRUE,"UNKNOWN")</f>
        <v>UNKNOWN</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 "MALE",orders[[#This Row],[Customer Gender]]="", "FEMALE",orders[[#This Row],[Customer Gender]]="O", "OTHERS",TRUE,"UNKNOWN")</f>
        <v>UNKNOWN</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 "MALE",orders[[#This Row],[Customer Gender]]="", "FEMALE",orders[[#This Row],[Customer Gender]]="O", "OTHERS",TRUE,"UNKNOWN")</f>
        <v>UNKNOWN</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 "MALE",orders[[#This Row],[Customer Gender]]="", "FEMALE",orders[[#This Row],[Customer Gender]]="O", "OTHERS",TRUE,"UNKNOWN")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 "MALE",orders[[#This Row],[Customer Gender]]="", "FEMALE",orders[[#This Row],[Customer Gender]]="O", "OTHERS",TRUE,"UNKNOWN")</f>
        <v>UNKNOWN</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 "MALE",orders[[#This Row],[Customer Gender]]="", "FEMALE",orders[[#This Row],[Customer Gender]]="O", "OTHERS",TRUE,"UNKNOWN")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 "MALE",orders[[#This Row],[Customer Gender]]="", "FEMALE",orders[[#This Row],[Customer Gender]]="O", "OTHERS",TRUE,"UNKNOWN")</f>
        <v>UNKNOWN</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 "MALE",orders[[#This Row],[Customer Gender]]="", "FEMALE",orders[[#This Row],[Customer Gender]]="O", "OTHERS",TRUE,"UNKNOWN")</f>
        <v>FEMALE</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 "MALE",orders[[#This Row],[Customer Gender]]="", "FEMALE",orders[[#This Row],[Customer Gender]]="O", "OTHERS",TRUE,"UNKNOWN")</f>
        <v>UNKNOWN</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 "MALE",orders[[#This Row],[Customer Gender]]="", "FEMALE",orders[[#This Row],[Customer Gender]]="O", "OTHERS",TRUE,"UNKNOWN")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 "MALE",orders[[#This Row],[Customer Gender]]="", "FEMALE",orders[[#This Row],[Customer Gender]]="O", "OTHERS",TRUE,"UNKNOWN")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 "MALE",orders[[#This Row],[Customer Gender]]="", "FEMALE",orders[[#This Row],[Customer Gender]]="O", "OTHERS",TRUE,"UNKNOWN")</f>
        <v>UNKNOWN</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 "MALE",orders[[#This Row],[Customer Gender]]="", "FEMALE",orders[[#This Row],[Customer Gender]]="O", "OTHERS",TRUE,"UNKNOWN")</f>
        <v>UNKNOWN</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 "MALE",orders[[#This Row],[Customer Gender]]="", "FEMALE",orders[[#This Row],[Customer Gender]]="O", "OTHERS",TRUE,"UNKNOWN")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 "MALE",orders[[#This Row],[Customer Gender]]="", "FEMALE",orders[[#This Row],[Customer Gender]]="O", "OTHERS",TRUE,"UNKNOWN")</f>
        <v>FEMALE</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 "MALE",orders[[#This Row],[Customer Gender]]="", "FEMALE",orders[[#This Row],[Customer Gender]]="O", "OTHERS",TRUE,"UNKNOWN")</f>
        <v>UNKNOWN</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 "MALE",orders[[#This Row],[Customer Gender]]="", "FEMALE",orders[[#This Row],[Customer Gender]]="O", "OTHERS",TRUE,"UNKNOWN")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 "MALE",orders[[#This Row],[Customer Gender]]="", "FEMALE",orders[[#This Row],[Customer Gender]]="O", "OTHERS",TRUE,"UNKNOWN")</f>
        <v>UNKNOWN</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 "MALE",orders[[#This Row],[Customer Gender]]="", "FEMALE",orders[[#This Row],[Customer Gender]]="O", "OTHERS",TRUE,"UNKNOWN")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 "MALE",orders[[#This Row],[Customer Gender]]="", "FEMALE",orders[[#This Row],[Customer Gender]]="O", "OTHERS",TRUE,"UNKNOWN")</f>
        <v>UNKNOWN</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 "MALE",orders[[#This Row],[Customer Gender]]="", "FEMALE",orders[[#This Row],[Customer Gender]]="O", "OTHERS",TRUE,"UNKNOWN")</f>
        <v>UNKNOWN</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 "MALE",orders[[#This Row],[Customer Gender]]="", "FEMALE",orders[[#This Row],[Customer Gender]]="O", "OTHERS",TRUE,"UNKNOWN")</f>
        <v>UNKNOWN</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 "MALE",orders[[#This Row],[Customer Gender]]="", "FEMALE",orders[[#This Row],[Customer Gender]]="O", "OTHERS",TRUE,"UNKNOWN")</f>
        <v>UNKNOWN</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 "MALE",orders[[#This Row],[Customer Gender]]="", "FEMALE",orders[[#This Row],[Customer Gender]]="O", "OTHERS",TRUE,"UNKNOWN")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 "MALE",orders[[#This Row],[Customer Gender]]="", "FEMALE",orders[[#This Row],[Customer Gender]]="O", "OTHERS",TRUE,"UNKNOWN")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 "MALE",orders[[#This Row],[Customer Gender]]="", "FEMALE",orders[[#This Row],[Customer Gender]]="O", "OTHERS",TRUE,"UNKNOWN")</f>
        <v>UNKNOWN</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 "MALE",orders[[#This Row],[Customer Gender]]="", "FEMALE",orders[[#This Row],[Customer Gender]]="O", "OTHERS",TRUE,"UNKNOWN")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 "MALE",orders[[#This Row],[Customer Gender]]="", "FEMALE",orders[[#This Row],[Customer Gender]]="O", "OTHERS",TRUE,"UNKNOWN")</f>
        <v>UNKNOWN</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 "MALE",orders[[#This Row],[Customer Gender]]="", "FEMALE",orders[[#This Row],[Customer Gender]]="O", "OTHERS",TRUE,"UNKNOWN")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 "MALE",orders[[#This Row],[Customer Gender]]="", "FEMALE",orders[[#This Row],[Customer Gender]]="O", "OTHERS",TRUE,"UNKNOWN")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 "MALE",orders[[#This Row],[Customer Gender]]="", "FEMALE",orders[[#This Row],[Customer Gender]]="O", "OTHERS",TRUE,"UNKNOWN")</f>
        <v>UNKNOWN</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 "MALE",orders[[#This Row],[Customer Gender]]="", "FEMALE",orders[[#This Row],[Customer Gender]]="O", "OTHERS",TRUE,"UNKNOWN")</f>
        <v>UNKNOWN</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 "MALE",orders[[#This Row],[Customer Gender]]="", "FEMALE",orders[[#This Row],[Customer Gender]]="O", "OTHERS",TRUE,"UNKNOWN")</f>
        <v>UNKNOWN</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 "MALE",orders[[#This Row],[Customer Gender]]="", "FEMALE",orders[[#This Row],[Customer Gender]]="O", "OTHERS",TRUE,"UNKNOWN")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 "MALE",orders[[#This Row],[Customer Gender]]="", "FEMALE",orders[[#This Row],[Customer Gender]]="O", "OTHERS",TRUE,"UNKNOWN")</f>
        <v>FEMALE</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 "MALE",orders[[#This Row],[Customer Gender]]="", "FEMALE",orders[[#This Row],[Customer Gender]]="O", "OTHERS",TRUE,"UNKNOWN")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 "MALE",orders[[#This Row],[Customer Gender]]="", "FEMALE",orders[[#This Row],[Customer Gender]]="O", "OTHERS",TRUE,"UNKNOWN")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 "MALE",orders[[#This Row],[Customer Gender]]="", "FEMALE",orders[[#This Row],[Customer Gender]]="O", "OTHERS",TRUE,"UNKNOWN")</f>
        <v>UNKNOWN</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 "MALE",orders[[#This Row],[Customer Gender]]="", "FEMALE",orders[[#This Row],[Customer Gender]]="O", "OTHERS",TRUE,"UNKNOWN")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 "MALE",orders[[#This Row],[Customer Gender]]="", "FEMALE",orders[[#This Row],[Customer Gender]]="O", "OTHERS",TRUE,"UNKNOWN")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 "MALE",orders[[#This Row],[Customer Gender]]="", "FEMALE",orders[[#This Row],[Customer Gender]]="O", "OTHERS",TRUE,"UNKNOWN")</f>
        <v>UNKNOWN</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 "MALE",orders[[#This Row],[Customer Gender]]="", "FEMALE",orders[[#This Row],[Customer Gender]]="O", "OTHERS",TRUE,"UNKNOWN")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 "MALE",orders[[#This Row],[Customer Gender]]="", "FEMALE",orders[[#This Row],[Customer Gender]]="O", "OTHERS",TRUE,"UNKNOWN")</f>
        <v>UNKNOWN</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 "MALE",orders[[#This Row],[Customer Gender]]="", "FEMALE",orders[[#This Row],[Customer Gender]]="O", "OTHERS",TRUE,"UNKNOWN")</f>
        <v>UNKNOWN</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 "MALE",orders[[#This Row],[Customer Gender]]="", "FEMALE",orders[[#This Row],[Customer Gender]]="O", "OTHERS",TRUE,"UNKNOWN")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 "MALE",orders[[#This Row],[Customer Gender]]="", "FEMALE",orders[[#This Row],[Customer Gender]]="O", "OTHERS",TRUE,"UNKNOWN")</f>
        <v>UNKNOWN</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 "MALE",orders[[#This Row],[Customer Gender]]="", "FEMALE",orders[[#This Row],[Customer Gender]]="O", "OTHERS",TRUE,"UNKNOWN")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 "MALE",orders[[#This Row],[Customer Gender]]="", "FEMALE",orders[[#This Row],[Customer Gender]]="O", "OTHERS",TRUE,"UNKNOWN")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 "MALE",orders[[#This Row],[Customer Gender]]="", "FEMALE",orders[[#This Row],[Customer Gender]]="O", "OTHERS",TRUE,"UNKNOWN")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 "MALE",orders[[#This Row],[Customer Gender]]="", "FEMALE",orders[[#This Row],[Customer Gender]]="O", "OTHERS",TRUE,"UNKNOWN")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 "MALE",orders[[#This Row],[Customer Gender]]="", "FEMALE",orders[[#This Row],[Customer Gender]]="O", "OTHERS",TRUE,"UNKNOWN")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 "MALE",orders[[#This Row],[Customer Gender]]="", "FEMALE",orders[[#This Row],[Customer Gender]]="O", "OTHERS",TRUE,"UNKNOWN")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 "MALE",orders[[#This Row],[Customer Gender]]="", "FEMALE",orders[[#This Row],[Customer Gender]]="O", "OTHERS",TRUE,"UNKNOWN")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 "MALE",orders[[#This Row],[Customer Gender]]="", "FEMALE",orders[[#This Row],[Customer Gender]]="O", "OTHERS",TRUE,"UNKNOWN")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 "MALE",orders[[#This Row],[Customer Gender]]="", "FEMALE",orders[[#This Row],[Customer Gender]]="O", "OTHERS",TRUE,"UNKNOWN")</f>
        <v>UNKNOWN</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 "MALE",orders[[#This Row],[Customer Gender]]="", "FEMALE",orders[[#This Row],[Customer Gender]]="O", "OTHERS",TRUE,"UNKNOWN")</f>
        <v>UNKNOWN</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 "MALE",orders[[#This Row],[Customer Gender]]="", "FEMALE",orders[[#This Row],[Customer Gender]]="O", "OTHERS",TRUE,"UNKNOWN")</f>
        <v>UNKNOWN</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 "MALE",orders[[#This Row],[Customer Gender]]="", "FEMALE",orders[[#This Row],[Customer Gender]]="O", "OTHERS",TRUE,"UNKNOWN")</f>
        <v>UNKNOWN</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 "MALE",orders[[#This Row],[Customer Gender]]="", "FEMALE",orders[[#This Row],[Customer Gender]]="O", "OTHERS",TRUE,"UNKNOWN")</f>
        <v>UNKNOWN</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 "MALE",orders[[#This Row],[Customer Gender]]="", "FEMALE",orders[[#This Row],[Customer Gender]]="O", "OTHERS",TRUE,"UNKNOWN")</f>
        <v>UNKNOWN</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 "MALE",orders[[#This Row],[Customer Gender]]="", "FEMALE",orders[[#This Row],[Customer Gender]]="O", "OTHERS",TRUE,"UNKNOWN")</f>
        <v>UNKNOWN</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 "MALE",orders[[#This Row],[Customer Gender]]="", "FEMALE",orders[[#This Row],[Customer Gender]]="O", "OTHERS",TRUE,"UNKNOWN")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 "MALE",orders[[#This Row],[Customer Gender]]="", "FEMALE",orders[[#This Row],[Customer Gender]]="O", "OTHERS",TRUE,"UNKNOWN")</f>
        <v>UNKNOWN</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 "MALE",orders[[#This Row],[Customer Gender]]="", "FEMALE",orders[[#This Row],[Customer Gender]]="O", "OTHERS",TRUE,"UNKNOWN")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 "MALE",orders[[#This Row],[Customer Gender]]="", "FEMALE",orders[[#This Row],[Customer Gender]]="O", "OTHERS",TRUE,"UNKNOWN")</f>
        <v>FEMALE</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 "MALE",orders[[#This Row],[Customer Gender]]="", "FEMALE",orders[[#This Row],[Customer Gender]]="O", "OTHERS",TRUE,"UNKNOWN")</f>
        <v>UNKNOWN</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 "MALE",orders[[#This Row],[Customer Gender]]="", "FEMALE",orders[[#This Row],[Customer Gender]]="O", "OTHERS",TRUE,"UNKNOWN")</f>
        <v>UNKNOWN</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 "MALE",orders[[#This Row],[Customer Gender]]="", "FEMALE",orders[[#This Row],[Customer Gender]]="O", "OTHERS",TRUE,"UNKNOWN")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 "MALE",orders[[#This Row],[Customer Gender]]="", "FEMALE",orders[[#This Row],[Customer Gender]]="O", "OTHERS",TRUE,"UNKNOWN")</f>
        <v>UNKNOWN</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 "MALE",orders[[#This Row],[Customer Gender]]="", "FEMALE",orders[[#This Row],[Customer Gender]]="O", "OTHERS",TRUE,"UNKNOWN")</f>
        <v>UNKNOWN</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 "MALE",orders[[#This Row],[Customer Gender]]="", "FEMALE",orders[[#This Row],[Customer Gender]]="O", "OTHERS",TRUE,"UNKNOWN")</f>
        <v>UNKNOWN</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 "MALE",orders[[#This Row],[Customer Gender]]="", "FEMALE",orders[[#This Row],[Customer Gender]]="O", "OTHERS",TRUE,"UNKNOWN")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 "MALE",orders[[#This Row],[Customer Gender]]="", "FEMALE",orders[[#This Row],[Customer Gender]]="O", "OTHERS",TRUE,"UNKNOWN")</f>
        <v>UNKNOWN</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 "MALE",orders[[#This Row],[Customer Gender]]="", "FEMALE",orders[[#This Row],[Customer Gender]]="O", "OTHERS",TRUE,"UNKNOWN")</f>
        <v>UNKNOWN</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 "MALE",orders[[#This Row],[Customer Gender]]="", "FEMALE",orders[[#This Row],[Customer Gender]]="O", "OTHERS",TRUE,"UNKNOWN")</f>
        <v>UNKNOWN</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 "MALE",orders[[#This Row],[Customer Gender]]="", "FEMALE",orders[[#This Row],[Customer Gender]]="O", "OTHERS",TRUE,"UNKNOWN")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 "MALE",orders[[#This Row],[Customer Gender]]="", "FEMALE",orders[[#This Row],[Customer Gender]]="O", "OTHERS",TRUE,"UNKNOWN")</f>
        <v>FEMALE</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 "MALE",orders[[#This Row],[Customer Gender]]="", "FEMALE",orders[[#This Row],[Customer Gender]]="O", "OTHERS",TRUE,"UNKNOWN")</f>
        <v>UNKNOWN</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 "MALE",orders[[#This Row],[Customer Gender]]="", "FEMALE",orders[[#This Row],[Customer Gender]]="O", "OTHERS",TRUE,"UNKNOWN")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 "MALE",orders[[#This Row],[Customer Gender]]="", "FEMALE",orders[[#This Row],[Customer Gender]]="O", "OTHERS",TRUE,"UNKNOWN")</f>
        <v>OTHERS</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 "MALE",orders[[#This Row],[Customer Gender]]="", "FEMALE",orders[[#This Row],[Customer Gender]]="O", "OTHERS",TRUE,"UNKNOWN")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 "MALE",orders[[#This Row],[Customer Gender]]="", "FEMALE",orders[[#This Row],[Customer Gender]]="O", "OTHERS",TRUE,"UNKNOWN")</f>
        <v>UNKNOWN</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 "MALE",orders[[#This Row],[Customer Gender]]="", "FEMALE",orders[[#This Row],[Customer Gender]]="O", "OTHERS",TRUE,"UNKNOWN")</f>
        <v>UNKNOWN</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 "MALE",orders[[#This Row],[Customer Gender]]="", "FEMALE",orders[[#This Row],[Customer Gender]]="O", "OTHERS",TRUE,"UNKNOWN")</f>
        <v>UNKNOWN</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 "MALE",orders[[#This Row],[Customer Gender]]="", "FEMALE",orders[[#This Row],[Customer Gender]]="O", "OTHERS",TRUE,"UNKNOWN")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 "MALE",orders[[#This Row],[Customer Gender]]="", "FEMALE",orders[[#This Row],[Customer Gender]]="O", "OTHERS",TRUE,"UNKNOWN")</f>
        <v>OTHERS</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 "MALE",orders[[#This Row],[Customer Gender]]="", "FEMALE",orders[[#This Row],[Customer Gender]]="O", "OTHERS",TRUE,"UNKNOWN")</f>
        <v>UNKNOWN</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 "MALE",orders[[#This Row],[Customer Gender]]="", "FEMALE",orders[[#This Row],[Customer Gender]]="O", "OTHERS",TRUE,"UNKNOWN")</f>
        <v>UNKNOWN</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 "MALE",orders[[#This Row],[Customer Gender]]="", "FEMALE",orders[[#This Row],[Customer Gender]]="O", "OTHERS",TRUE,"UNKNOWN")</f>
        <v>UNKNOWN</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 "MALE",orders[[#This Row],[Customer Gender]]="", "FEMALE",orders[[#This Row],[Customer Gender]]="O", "OTHERS",TRUE,"UNKNOWN")</f>
        <v>UNKNOWN</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 "MALE",orders[[#This Row],[Customer Gender]]="", "FEMALE",orders[[#This Row],[Customer Gender]]="O", "OTHERS",TRUE,"UNKNOWN")</f>
        <v>UNKNOWN</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 "MALE",orders[[#This Row],[Customer Gender]]="", "FEMALE",orders[[#This Row],[Customer Gender]]="O", "OTHERS",TRUE,"UNKNOWN")</f>
        <v>UNKNOWN</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 "MALE",orders[[#This Row],[Customer Gender]]="", "FEMALE",orders[[#This Row],[Customer Gender]]="O", "OTHERS",TRUE,"UNKNOWN")</f>
        <v>UNKNOWN</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 "MALE",orders[[#This Row],[Customer Gender]]="", "FEMALE",orders[[#This Row],[Customer Gender]]="O", "OTHERS",TRUE,"UNKNOWN")</f>
        <v>UNKNOWN</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 "MALE",orders[[#This Row],[Customer Gender]]="", "FEMALE",orders[[#This Row],[Customer Gender]]="O", "OTHERS",TRUE,"UNKNOWN")</f>
        <v>UNKNOWN</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 "MALE",orders[[#This Row],[Customer Gender]]="", "FEMALE",orders[[#This Row],[Customer Gender]]="O", "OTHERS",TRUE,"UNKNOWN")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 "MALE",orders[[#This Row],[Customer Gender]]="", "FEMALE",orders[[#This Row],[Customer Gender]]="O", "OTHERS",TRUE,"UNKNOWN")</f>
        <v>UNKNOWN</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 "MALE",orders[[#This Row],[Customer Gender]]="", "FEMALE",orders[[#This Row],[Customer Gender]]="O", "OTHERS",TRUE,"UNKNOWN")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 "MALE",orders[[#This Row],[Customer Gender]]="", "FEMALE",orders[[#This Row],[Customer Gender]]="O", "OTHERS",TRUE,"UNKNOWN")</f>
        <v>UNKNOWN</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 "MALE",orders[[#This Row],[Customer Gender]]="", "FEMALE",orders[[#This Row],[Customer Gender]]="O", "OTHERS",TRUE,"UNKNOWN")</f>
        <v>UNKNOWN</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 "MALE",orders[[#This Row],[Customer Gender]]="", "FEMALE",orders[[#This Row],[Customer Gender]]="O", "OTHERS",TRUE,"UNKNOWN")</f>
        <v>UNKNOWN</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 "MALE",orders[[#This Row],[Customer Gender]]="", "FEMALE",orders[[#This Row],[Customer Gender]]="O", "OTHERS",TRUE,"UNKNOWN")</f>
        <v>UNKNOWN</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 "MALE",orders[[#This Row],[Customer Gender]]="", "FEMALE",orders[[#This Row],[Customer Gender]]="O", "OTHERS",TRUE,"UNKNOWN")</f>
        <v>UNKNOWN</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 "MALE",orders[[#This Row],[Customer Gender]]="", "FEMALE",orders[[#This Row],[Customer Gender]]="O", "OTHERS",TRUE,"UNKNOWN")</f>
        <v>UNKNOWN</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 "MALE",orders[[#This Row],[Customer Gender]]="", "FEMALE",orders[[#This Row],[Customer Gender]]="O", "OTHERS",TRUE,"UNKNOWN")</f>
        <v>UNKNOWN</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 "MALE",orders[[#This Row],[Customer Gender]]="", "FEMALE",orders[[#This Row],[Customer Gender]]="O", "OTHERS",TRUE,"UNKNOWN")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 "MALE",orders[[#This Row],[Customer Gender]]="", "FEMALE",orders[[#This Row],[Customer Gender]]="O", "OTHERS",TRUE,"UNKNOWN")</f>
        <v>UNKNOWN</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 "MALE",orders[[#This Row],[Customer Gender]]="", "FEMALE",orders[[#This Row],[Customer Gender]]="O", "OTHERS",TRUE,"UNKNOWN")</f>
        <v>UNKNOWN</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 "MALE",orders[[#This Row],[Customer Gender]]="", "FEMALE",orders[[#This Row],[Customer Gender]]="O", "OTHERS",TRUE,"UNKNOWN")</f>
        <v>UNKNOWN</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 "MALE",orders[[#This Row],[Customer Gender]]="", "FEMALE",orders[[#This Row],[Customer Gender]]="O", "OTHERS",TRUE,"UNKNOWN")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 "MALE",orders[[#This Row],[Customer Gender]]="", "FEMALE",orders[[#This Row],[Customer Gender]]="O", "OTHERS",TRUE,"UNKNOWN")</f>
        <v>UNKNOWN</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 "MALE",orders[[#This Row],[Customer Gender]]="", "FEMALE",orders[[#This Row],[Customer Gender]]="O", "OTHERS",TRUE,"UNKNOWN")</f>
        <v>UNKNOWN</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 "MALE",orders[[#This Row],[Customer Gender]]="", "FEMALE",orders[[#This Row],[Customer Gender]]="O", "OTHERS",TRUE,"UNKNOWN")</f>
        <v>UNKNOWN</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 "MALE",orders[[#This Row],[Customer Gender]]="", "FEMALE",orders[[#This Row],[Customer Gender]]="O", "OTHERS",TRUE,"UNKNOWN")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 "MALE",orders[[#This Row],[Customer Gender]]="", "FEMALE",orders[[#This Row],[Customer Gender]]="O", "OTHERS",TRUE,"UNKNOWN")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 "MALE",orders[[#This Row],[Customer Gender]]="", "FEMALE",orders[[#This Row],[Customer Gender]]="O", "OTHERS",TRUE,"UNKNOWN")</f>
        <v>UNKNOWN</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 "MALE",orders[[#This Row],[Customer Gender]]="", "FEMALE",orders[[#This Row],[Customer Gender]]="O", "OTHERS",TRUE,"UNKNOWN")</f>
        <v>UNKNOWN</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 "MALE",orders[[#This Row],[Customer Gender]]="", "FEMALE",orders[[#This Row],[Customer Gender]]="O", "OTHERS",TRUE,"UNKNOWN")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 "MALE",orders[[#This Row],[Customer Gender]]="", "FEMALE",orders[[#This Row],[Customer Gender]]="O", "OTHERS",TRUE,"UNKNOWN")</f>
        <v>UNKNOWN</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 "MALE",orders[[#This Row],[Customer Gender]]="", "FEMALE",orders[[#This Row],[Customer Gender]]="O", "OTHERS",TRUE,"UNKNOWN")</f>
        <v>UNKNOWN</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 "MALE",orders[[#This Row],[Customer Gender]]="", "FEMALE",orders[[#This Row],[Customer Gender]]="O", "OTHERS",TRUE,"UNKNOWN")</f>
        <v>UNKNOWN</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 "MALE",orders[[#This Row],[Customer Gender]]="", "FEMALE",orders[[#This Row],[Customer Gender]]="O", "OTHERS",TRUE,"UNKNOWN")</f>
        <v>UNKNOWN</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 "MALE",orders[[#This Row],[Customer Gender]]="", "FEMALE",orders[[#This Row],[Customer Gender]]="O", "OTHERS",TRUE,"UNKNOWN")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 "MALE",orders[[#This Row],[Customer Gender]]="", "FEMALE",orders[[#This Row],[Customer Gender]]="O", "OTHERS",TRUE,"UNKNOWN")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 "MALE",orders[[#This Row],[Customer Gender]]="", "FEMALE",orders[[#This Row],[Customer Gender]]="O", "OTHERS",TRUE,"UNKNOWN")</f>
        <v>UNKNOWN</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 "MALE",orders[[#This Row],[Customer Gender]]="", "FEMALE",orders[[#This Row],[Customer Gender]]="O", "OTHERS",TRUE,"UNKNOWN")</f>
        <v>UNKNOWN</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 "MALE",orders[[#This Row],[Customer Gender]]="", "FEMALE",orders[[#This Row],[Customer Gender]]="O", "OTHERS",TRUE,"UNKNOWN")</f>
        <v>OTHERS</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 "MALE",orders[[#This Row],[Customer Gender]]="", "FEMALE",orders[[#This Row],[Customer Gender]]="O", "OTHERS",TRUE,"UNKNOWN")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 "MALE",orders[[#This Row],[Customer Gender]]="", "FEMALE",orders[[#This Row],[Customer Gender]]="O", "OTHERS",TRUE,"UNKNOWN")</f>
        <v>UNKNOWN</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 "MALE",orders[[#This Row],[Customer Gender]]="", "FEMALE",orders[[#This Row],[Customer Gender]]="O", "OTHERS",TRUE,"UNKNOWN")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 "MALE",orders[[#This Row],[Customer Gender]]="", "FEMALE",orders[[#This Row],[Customer Gender]]="O", "OTHERS",TRUE,"UNKNOWN")</f>
        <v>UNKNOWN</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 "MALE",orders[[#This Row],[Customer Gender]]="", "FEMALE",orders[[#This Row],[Customer Gender]]="O", "OTHERS",TRUE,"UNKNOWN")</f>
        <v>UNKNOWN</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 "MALE",orders[[#This Row],[Customer Gender]]="", "FEMALE",orders[[#This Row],[Customer Gender]]="O", "OTHERS",TRUE,"UNKNOWN")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 "MALE",orders[[#This Row],[Customer Gender]]="", "FEMALE",orders[[#This Row],[Customer Gender]]="O", "OTHERS",TRUE,"UNKNOWN")</f>
        <v>FEMALE</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 "MALE",orders[[#This Row],[Customer Gender]]="", "FEMALE",orders[[#This Row],[Customer Gender]]="O", "OTHERS",TRUE,"UNKNOWN")</f>
        <v>FEMALE</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 "MALE",orders[[#This Row],[Customer Gender]]="", "FEMALE",orders[[#This Row],[Customer Gender]]="O", "OTHERS",TRUE,"UNKNOWN")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 "MALE",orders[[#This Row],[Customer Gender]]="", "FEMALE",orders[[#This Row],[Customer Gender]]="O", "OTHERS",TRUE,"UNKNOWN")</f>
        <v>UNKNOWN</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 "MALE",orders[[#This Row],[Customer Gender]]="", "FEMALE",orders[[#This Row],[Customer Gender]]="O", "OTHERS",TRUE,"UNKNOWN")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 "MALE",orders[[#This Row],[Customer Gender]]="", "FEMALE",orders[[#This Row],[Customer Gender]]="O", "OTHERS",TRUE,"UNKNOWN")</f>
        <v>UNKNOWN</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 "MALE",orders[[#This Row],[Customer Gender]]="", "FEMALE",orders[[#This Row],[Customer Gender]]="O", "OTHERS",TRUE,"UNKNOWN")</f>
        <v>UNKNOWN</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 "MALE",orders[[#This Row],[Customer Gender]]="", "FEMALE",orders[[#This Row],[Customer Gender]]="O", "OTHERS",TRUE,"UNKNOWN")</f>
        <v>UNKNOWN</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 "MALE",orders[[#This Row],[Customer Gender]]="", "FEMALE",orders[[#This Row],[Customer Gender]]="O", "OTHERS",TRUE,"UNKNOWN")</f>
        <v>UNKNOWN</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 "MALE",orders[[#This Row],[Customer Gender]]="", "FEMALE",orders[[#This Row],[Customer Gender]]="O", "OTHERS",TRUE,"UNKNOWN")</f>
        <v>UNKNOWN</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 "MALE",orders[[#This Row],[Customer Gender]]="", "FEMALE",orders[[#This Row],[Customer Gender]]="O", "OTHERS",TRUE,"UNKNOWN")</f>
        <v>UNKNOWN</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 "MALE",orders[[#This Row],[Customer Gender]]="", "FEMALE",orders[[#This Row],[Customer Gender]]="O", "OTHERS",TRUE,"UNKNOWN")</f>
        <v>UNKNOWN</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 "MALE",orders[[#This Row],[Customer Gender]]="", "FEMALE",orders[[#This Row],[Customer Gender]]="O", "OTHERS",TRUE,"UNKNOWN")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 "MALE",orders[[#This Row],[Customer Gender]]="", "FEMALE",orders[[#This Row],[Customer Gender]]="O", "OTHERS",TRUE,"UNKNOWN")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 "MALE",orders[[#This Row],[Customer Gender]]="", "FEMALE",orders[[#This Row],[Customer Gender]]="O", "OTHERS",TRUE,"UNKNOWN")</f>
        <v>UNKNOWN</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 "MALE",orders[[#This Row],[Customer Gender]]="", "FEMALE",orders[[#This Row],[Customer Gender]]="O", "OTHERS",TRUE,"UNKNOWN")</f>
        <v>UNKNOWN</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 "MALE",orders[[#This Row],[Customer Gender]]="", "FEMALE",orders[[#This Row],[Customer Gender]]="O", "OTHERS",TRUE,"UNKNOWN")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 "MALE",orders[[#This Row],[Customer Gender]]="", "FEMALE",orders[[#This Row],[Customer Gender]]="O", "OTHERS",TRUE,"UNKNOWN")</f>
        <v>UNKNOWN</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 "MALE",orders[[#This Row],[Customer Gender]]="", "FEMALE",orders[[#This Row],[Customer Gender]]="O", "OTHERS",TRUE,"UNKNOWN")</f>
        <v>UNKNOWN</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 "MALE",orders[[#This Row],[Customer Gender]]="", "FEMALE",orders[[#This Row],[Customer Gender]]="O", "OTHERS",TRUE,"UNKNOWN")</f>
        <v>FEMALE</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 "MALE",orders[[#This Row],[Customer Gender]]="", "FEMALE",orders[[#This Row],[Customer Gender]]="O", "OTHERS",TRUE,"UNKNOWN")</f>
        <v>UNKNOWN</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 "MALE",orders[[#This Row],[Customer Gender]]="", "FEMALE",orders[[#This Row],[Customer Gender]]="O", "OTHERS",TRUE,"UNKNOWN")</f>
        <v>UNKNOWN</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 "MALE",orders[[#This Row],[Customer Gender]]="", "FEMALE",orders[[#This Row],[Customer Gender]]="O", "OTHERS",TRUE,"UNKNOWN")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 "MALE",orders[[#This Row],[Customer Gender]]="", "FEMALE",orders[[#This Row],[Customer Gender]]="O", "OTHERS",TRUE,"UNKNOWN")</f>
        <v>FEMALE</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 "MALE",orders[[#This Row],[Customer Gender]]="", "FEMALE",orders[[#This Row],[Customer Gender]]="O", "OTHERS",TRUE,"UNKNOWN")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 "MALE",orders[[#This Row],[Customer Gender]]="", "FEMALE",orders[[#This Row],[Customer Gender]]="O", "OTHERS",TRUE,"UNKNOWN")</f>
        <v>UNKNOWN</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 "MALE",orders[[#This Row],[Customer Gender]]="", "FEMALE",orders[[#This Row],[Customer Gender]]="O", "OTHERS",TRUE,"UNKNOWN")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 "MALE",orders[[#This Row],[Customer Gender]]="", "FEMALE",orders[[#This Row],[Customer Gender]]="O", "OTHERS",TRUE,"UNKNOWN")</f>
        <v>FEMALE</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 "MALE",orders[[#This Row],[Customer Gender]]="", "FEMALE",orders[[#This Row],[Customer Gender]]="O", "OTHERS",TRUE,"UNKNOWN")</f>
        <v>UNKNOWN</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 "MALE",orders[[#This Row],[Customer Gender]]="", "FEMALE",orders[[#This Row],[Customer Gender]]="O", "OTHERS",TRUE,"UNKNOWN")</f>
        <v>UNKNOWN</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 "MALE",orders[[#This Row],[Customer Gender]]="", "FEMALE",orders[[#This Row],[Customer Gender]]="O", "OTHERS",TRUE,"UNKNOWN")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 "MALE",orders[[#This Row],[Customer Gender]]="", "FEMALE",orders[[#This Row],[Customer Gender]]="O", "OTHERS",TRUE,"UNKNOWN")</f>
        <v>UNKNOWN</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 "MALE",orders[[#This Row],[Customer Gender]]="", "FEMALE",orders[[#This Row],[Customer Gender]]="O", "OTHERS",TRUE,"UNKNOWN")</f>
        <v>UNKNOWN</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 "MALE",orders[[#This Row],[Customer Gender]]="", "FEMALE",orders[[#This Row],[Customer Gender]]="O", "OTHERS",TRUE,"UNKNOWN")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 "MALE",orders[[#This Row],[Customer Gender]]="", "FEMALE",orders[[#This Row],[Customer Gender]]="O", "OTHERS",TRUE,"UNKNOWN")</f>
        <v>UNKNOWN</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 "MALE",orders[[#This Row],[Customer Gender]]="", "FEMALE",orders[[#This Row],[Customer Gender]]="O", "OTHERS",TRUE,"UNKNOWN")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 "MALE",orders[[#This Row],[Customer Gender]]="", "FEMALE",orders[[#This Row],[Customer Gender]]="O", "OTHERS",TRUE,"UNKNOWN")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 "MALE",orders[[#This Row],[Customer Gender]]="", "FEMALE",orders[[#This Row],[Customer Gender]]="O", "OTHERS",TRUE,"UNKNOWN")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 "MALE",orders[[#This Row],[Customer Gender]]="", "FEMALE",orders[[#This Row],[Customer Gender]]="O", "OTHERS",TRUE,"UNKNOWN")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 "MALE",orders[[#This Row],[Customer Gender]]="", "FEMALE",orders[[#This Row],[Customer Gender]]="O", "OTHERS",TRUE,"UNKNOWN")</f>
        <v>UNKNOWN</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 "MALE",orders[[#This Row],[Customer Gender]]="", "FEMALE",orders[[#This Row],[Customer Gender]]="O", "OTHERS",TRUE,"UNKNOWN")</f>
        <v>UNKNOWN</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 "MALE",orders[[#This Row],[Customer Gender]]="", "FEMALE",orders[[#This Row],[Customer Gender]]="O", "OTHERS",TRUE,"UNKNOWN")</f>
        <v>UNKNOWN</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 "MALE",orders[[#This Row],[Customer Gender]]="", "FEMALE",orders[[#This Row],[Customer Gender]]="O", "OTHERS",TRUE,"UNKNOWN")</f>
        <v>UNKNOWN</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 "MALE",orders[[#This Row],[Customer Gender]]="", "FEMALE",orders[[#This Row],[Customer Gender]]="O", "OTHERS",TRUE,"UNKNOWN")</f>
        <v>UNKNOWN</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 "MALE",orders[[#This Row],[Customer Gender]]="", "FEMALE",orders[[#This Row],[Customer Gender]]="O", "OTHERS",TRUE,"UNKNOWN")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 "MALE",orders[[#This Row],[Customer Gender]]="", "FEMALE",orders[[#This Row],[Customer Gender]]="O", "OTHERS",TRUE,"UNKNOWN")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 "MALE",orders[[#This Row],[Customer Gender]]="", "FEMALE",orders[[#This Row],[Customer Gender]]="O", "OTHERS",TRUE,"UNKNOWN")</f>
        <v>OTHERS</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 "MALE",orders[[#This Row],[Customer Gender]]="", "FEMALE",orders[[#This Row],[Customer Gender]]="O", "OTHERS",TRUE,"UNKNOWN")</f>
        <v>UNKNOWN</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 "MALE",orders[[#This Row],[Customer Gender]]="", "FEMALE",orders[[#This Row],[Customer Gender]]="O", "OTHERS",TRUE,"UNKNOWN")</f>
        <v>UNKNOWN</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 "MALE",orders[[#This Row],[Customer Gender]]="", "FEMALE",orders[[#This Row],[Customer Gender]]="O", "OTHERS",TRUE,"UNKNOWN")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 "MALE",orders[[#This Row],[Customer Gender]]="", "FEMALE",orders[[#This Row],[Customer Gender]]="O", "OTHERS",TRUE,"UNKNOWN")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 "MALE",orders[[#This Row],[Customer Gender]]="", "FEMALE",orders[[#This Row],[Customer Gender]]="O", "OTHERS",TRUE,"UNKNOWN")</f>
        <v>OTHERS</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 "MALE",orders[[#This Row],[Customer Gender]]="", "FEMALE",orders[[#This Row],[Customer Gender]]="O", "OTHERS",TRUE,"UNKNOWN")</f>
        <v>UNKNOWN</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 "MALE",orders[[#This Row],[Customer Gender]]="", "FEMALE",orders[[#This Row],[Customer Gender]]="O", "OTHERS",TRUE,"UNKNOWN")</f>
        <v>UNKNOWN</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 "MALE",orders[[#This Row],[Customer Gender]]="", "FEMALE",orders[[#This Row],[Customer Gender]]="O", "OTHERS",TRUE,"UNKNOWN")</f>
        <v>FEMALE</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 "MALE",orders[[#This Row],[Customer Gender]]="", "FEMALE",orders[[#This Row],[Customer Gender]]="O", "OTHERS",TRUE,"UNKNOWN")</f>
        <v>UNKNOWN</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 "MALE",orders[[#This Row],[Customer Gender]]="", "FEMALE",orders[[#This Row],[Customer Gender]]="O", "OTHERS",TRUE,"UNKNOWN")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 "MALE",orders[[#This Row],[Customer Gender]]="", "FEMALE",orders[[#This Row],[Customer Gender]]="O", "OTHERS",TRUE,"UNKNOWN")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 "MALE",orders[[#This Row],[Customer Gender]]="", "FEMALE",orders[[#This Row],[Customer Gender]]="O", "OTHERS",TRUE,"UNKNOWN")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 "MALE",orders[[#This Row],[Customer Gender]]="", "FEMALE",orders[[#This Row],[Customer Gender]]="O", "OTHERS",TRUE,"UNKNOWN")</f>
        <v>UNKNOWN</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 "MALE",orders[[#This Row],[Customer Gender]]="", "FEMALE",orders[[#This Row],[Customer Gender]]="O", "OTHERS",TRUE,"UNKNOWN")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 "MALE",orders[[#This Row],[Customer Gender]]="", "FEMALE",orders[[#This Row],[Customer Gender]]="O", "OTHERS",TRUE,"UNKNOWN")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 "MALE",orders[[#This Row],[Customer Gender]]="", "FEMALE",orders[[#This Row],[Customer Gender]]="O", "OTHERS",TRUE,"UNKNOWN")</f>
        <v>UNKNOWN</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 "MALE",orders[[#This Row],[Customer Gender]]="", "FEMALE",orders[[#This Row],[Customer Gender]]="O", "OTHERS",TRUE,"UNKNOWN")</f>
        <v>UNKNOWN</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 "MALE",orders[[#This Row],[Customer Gender]]="", "FEMALE",orders[[#This Row],[Customer Gender]]="O", "OTHERS",TRUE,"UNKNOWN")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 "MALE",orders[[#This Row],[Customer Gender]]="", "FEMALE",orders[[#This Row],[Customer Gender]]="O", "OTHERS",TRUE,"UNKNOWN")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 "MALE",orders[[#This Row],[Customer Gender]]="", "FEMALE",orders[[#This Row],[Customer Gender]]="O", "OTHERS",TRUE,"UNKNOWN")</f>
        <v>FEMALE</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 "MALE",orders[[#This Row],[Customer Gender]]="", "FEMALE",orders[[#This Row],[Customer Gender]]="O", "OTHERS",TRUE,"UNKNOWN")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 "MALE",orders[[#This Row],[Customer Gender]]="", "FEMALE",orders[[#This Row],[Customer Gender]]="O", "OTHERS",TRUE,"UNKNOWN")</f>
        <v>UNKNOWN</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 "MALE",orders[[#This Row],[Customer Gender]]="", "FEMALE",orders[[#This Row],[Customer Gender]]="O", "OTHERS",TRUE,"UNKNOWN")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 "MALE",orders[[#This Row],[Customer Gender]]="", "FEMALE",orders[[#This Row],[Customer Gender]]="O", "OTHERS",TRUE,"UNKNOWN")</f>
        <v>UNKNOWN</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 "MALE",orders[[#This Row],[Customer Gender]]="", "FEMALE",orders[[#This Row],[Customer Gender]]="O", "OTHERS",TRUE,"UNKNOWN")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 "MALE",orders[[#This Row],[Customer Gender]]="", "FEMALE",orders[[#This Row],[Customer Gender]]="O", "OTHERS",TRUE,"UNKNOWN")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 "MALE",orders[[#This Row],[Customer Gender]]="", "FEMALE",orders[[#This Row],[Customer Gender]]="O", "OTHERS",TRUE,"UNKNOWN")</f>
        <v>UNKNOWN</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 "MALE",orders[[#This Row],[Customer Gender]]="", "FEMALE",orders[[#This Row],[Customer Gender]]="O", "OTHERS",TRUE,"UNKNOWN")</f>
        <v>OTHERS</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 "MALE",orders[[#This Row],[Customer Gender]]="", "FEMALE",orders[[#This Row],[Customer Gender]]="O", "OTHERS",TRUE,"UNKNOWN")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 "MALE",orders[[#This Row],[Customer Gender]]="", "FEMALE",orders[[#This Row],[Customer Gender]]="O", "OTHERS",TRUE,"UNKNOWN")</f>
        <v>OTHERS</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 "MALE",orders[[#This Row],[Customer Gender]]="", "FEMALE",orders[[#This Row],[Customer Gender]]="O", "OTHERS",TRUE,"UNKNOWN")</f>
        <v>FEMALE</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 "MALE",orders[[#This Row],[Customer Gender]]="", "FEMALE",orders[[#This Row],[Customer Gender]]="O", "OTHERS",TRUE,"UNKNOWN")</f>
        <v>UNKNOWN</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 "MALE",orders[[#This Row],[Customer Gender]]="", "FEMALE",orders[[#This Row],[Customer Gender]]="O", "OTHERS",TRUE,"UNKNOWN")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 "MALE",orders[[#This Row],[Customer Gender]]="", "FEMALE",orders[[#This Row],[Customer Gender]]="O", "OTHERS",TRUE,"UNKNOWN")</f>
        <v>UNKNOWN</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 "MALE",orders[[#This Row],[Customer Gender]]="", "FEMALE",orders[[#This Row],[Customer Gender]]="O", "OTHERS",TRUE,"UNKNOWN")</f>
        <v>FEMALE</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 "MALE",orders[[#This Row],[Customer Gender]]="", "FEMALE",orders[[#This Row],[Customer Gender]]="O", "OTHERS",TRUE,"UNKNOWN")</f>
        <v>UNKNOWN</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 "MALE",orders[[#This Row],[Customer Gender]]="", "FEMALE",orders[[#This Row],[Customer Gender]]="O", "OTHERS",TRUE,"UNKNOWN")</f>
        <v>UNKNOWN</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 "MALE",orders[[#This Row],[Customer Gender]]="", "FEMALE",orders[[#This Row],[Customer Gender]]="O", "OTHERS",TRUE,"UNKNOWN")</f>
        <v>UNKNOWN</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 "MALE",orders[[#This Row],[Customer Gender]]="", "FEMALE",orders[[#This Row],[Customer Gender]]="O", "OTHERS",TRUE,"UNKNOWN")</f>
        <v>UNKNOWN</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 "MALE",orders[[#This Row],[Customer Gender]]="", "FEMALE",orders[[#This Row],[Customer Gender]]="O", "OTHERS",TRUE,"UNKNOWN")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 "MALE",orders[[#This Row],[Customer Gender]]="", "FEMALE",orders[[#This Row],[Customer Gender]]="O", "OTHERS",TRUE,"UNKNOWN")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 "MALE",orders[[#This Row],[Customer Gender]]="", "FEMALE",orders[[#This Row],[Customer Gender]]="O", "OTHERS",TRUE,"UNKNOWN")</f>
        <v>UNKNOWN</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 "MALE",orders[[#This Row],[Customer Gender]]="", "FEMALE",orders[[#This Row],[Customer Gender]]="O", "OTHERS",TRUE,"UNKNOWN")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 "MALE",orders[[#This Row],[Customer Gender]]="", "FEMALE",orders[[#This Row],[Customer Gender]]="O", "OTHERS",TRUE,"UNKNOWN")</f>
        <v>UNKNOWN</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 "MALE",orders[[#This Row],[Customer Gender]]="", "FEMALE",orders[[#This Row],[Customer Gender]]="O", "OTHERS",TRUE,"UNKNOWN")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 "MALE",orders[[#This Row],[Customer Gender]]="", "FEMALE",orders[[#This Row],[Customer Gender]]="O", "OTHERS",TRUE,"UNKNOWN")</f>
        <v>FEMALE</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 "MALE",orders[[#This Row],[Customer Gender]]="", "FEMALE",orders[[#This Row],[Customer Gender]]="O", "OTHERS",TRUE,"UNKNOWN")</f>
        <v>UNKNOWN</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 "MALE",orders[[#This Row],[Customer Gender]]="", "FEMALE",orders[[#This Row],[Customer Gender]]="O", "OTHERS",TRUE,"UNKNOWN")</f>
        <v>UNKNOWN</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 "MALE",orders[[#This Row],[Customer Gender]]="", "FEMALE",orders[[#This Row],[Customer Gender]]="O", "OTHERS",TRUE,"UNKNOWN")</f>
        <v>UNKNOWN</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 "MALE",orders[[#This Row],[Customer Gender]]="", "FEMALE",orders[[#This Row],[Customer Gender]]="O", "OTHERS",TRUE,"UNKNOWN")</f>
        <v>UNKNOWN</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 "MALE",orders[[#This Row],[Customer Gender]]="", "FEMALE",orders[[#This Row],[Customer Gender]]="O", "OTHERS",TRUE,"UNKNOWN")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 "MALE",orders[[#This Row],[Customer Gender]]="", "FEMALE",orders[[#This Row],[Customer Gender]]="O", "OTHERS",TRUE,"UNKNOWN")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 "MALE",orders[[#This Row],[Customer Gender]]="", "FEMALE",orders[[#This Row],[Customer Gender]]="O", "OTHERS",TRUE,"UNKNOWN")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 "MALE",orders[[#This Row],[Customer Gender]]="", "FEMALE",orders[[#This Row],[Customer Gender]]="O", "OTHERS",TRUE,"UNKNOWN")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 "MALE",orders[[#This Row],[Customer Gender]]="", "FEMALE",orders[[#This Row],[Customer Gender]]="O", "OTHERS",TRUE,"UNKNOWN")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 "MALE",orders[[#This Row],[Customer Gender]]="", "FEMALE",orders[[#This Row],[Customer Gender]]="O", "OTHERS",TRUE,"UNKNOWN")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 "MALE",orders[[#This Row],[Customer Gender]]="", "FEMALE",orders[[#This Row],[Customer Gender]]="O", "OTHERS",TRUE,"UNKNOWN")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 "MALE",orders[[#This Row],[Customer Gender]]="", "FEMALE",orders[[#This Row],[Customer Gender]]="O", "OTHERS",TRUE,"UNKNOWN")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 "MALE",orders[[#This Row],[Customer Gender]]="", "FEMALE",orders[[#This Row],[Customer Gender]]="O", "OTHERS",TRUE,"UNKNOWN")</f>
        <v>UNKNOWN</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 "MALE",orders[[#This Row],[Customer Gender]]="", "FEMALE",orders[[#This Row],[Customer Gender]]="O", "OTHERS",TRUE,"UNKNOWN")</f>
        <v>UNKNOWN</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 "MALE",orders[[#This Row],[Customer Gender]]="", "FEMALE",orders[[#This Row],[Customer Gender]]="O", "OTHERS",TRUE,"UNKNOWN")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 "MALE",orders[[#This Row],[Customer Gender]]="", "FEMALE",orders[[#This Row],[Customer Gender]]="O", "OTHERS",TRUE,"UNKNOWN")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 "MALE",orders[[#This Row],[Customer Gender]]="", "FEMALE",orders[[#This Row],[Customer Gender]]="O", "OTHERS",TRUE,"UNKNOWN")</f>
        <v>UNKNOWN</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 "MALE",orders[[#This Row],[Customer Gender]]="", "FEMALE",orders[[#This Row],[Customer Gender]]="O", "OTHERS",TRUE,"UNKNOWN")</f>
        <v>UNKNOWN</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 "MALE",orders[[#This Row],[Customer Gender]]="", "FEMALE",orders[[#This Row],[Customer Gender]]="O", "OTHERS",TRUE,"UNKNOWN")</f>
        <v>UNKNOWN</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 "MALE",orders[[#This Row],[Customer Gender]]="", "FEMALE",orders[[#This Row],[Customer Gender]]="O", "OTHERS",TRUE,"UNKNOWN")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 "MALE",orders[[#This Row],[Customer Gender]]="", "FEMALE",orders[[#This Row],[Customer Gender]]="O", "OTHERS",TRUE,"UNKNOWN")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 "MALE",orders[[#This Row],[Customer Gender]]="", "FEMALE",orders[[#This Row],[Customer Gender]]="O", "OTHERS",TRUE,"UNKNOWN")</f>
        <v>UNKNOWN</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 "MALE",orders[[#This Row],[Customer Gender]]="", "FEMALE",orders[[#This Row],[Customer Gender]]="O", "OTHERS",TRUE,"UNKNOWN")</f>
        <v>UNKNOWN</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 "MALE",orders[[#This Row],[Customer Gender]]="", "FEMALE",orders[[#This Row],[Customer Gender]]="O", "OTHERS",TRUE,"UNKNOWN")</f>
        <v>UNKNOWN</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 "MALE",orders[[#This Row],[Customer Gender]]="", "FEMALE",orders[[#This Row],[Customer Gender]]="O", "OTHERS",TRUE,"UNKNOWN")</f>
        <v>UNKNOWN</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 "MALE",orders[[#This Row],[Customer Gender]]="", "FEMALE",orders[[#This Row],[Customer Gender]]="O", "OTHERS",TRUE,"UNKNOWN")</f>
        <v>FEMALE</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 "MALE",orders[[#This Row],[Customer Gender]]="", "FEMALE",orders[[#This Row],[Customer Gender]]="O", "OTHERS",TRUE,"UNKNOWN")</f>
        <v>UNKNOWN</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 "MALE",orders[[#This Row],[Customer Gender]]="", "FEMALE",orders[[#This Row],[Customer Gender]]="O", "OTHERS",TRUE,"UNKNOWN")</f>
        <v>UNKNOWN</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 "MALE",orders[[#This Row],[Customer Gender]]="", "FEMALE",orders[[#This Row],[Customer Gender]]="O", "OTHERS",TRUE,"UNKNOWN")</f>
        <v>UNKNOWN</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 "MALE",orders[[#This Row],[Customer Gender]]="", "FEMALE",orders[[#This Row],[Customer Gender]]="O", "OTHERS",TRUE,"UNKNOWN")</f>
        <v>UNKNOWN</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 "MALE",orders[[#This Row],[Customer Gender]]="", "FEMALE",orders[[#This Row],[Customer Gender]]="O", "OTHERS",TRUE,"UNKNOWN")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 "MALE",orders[[#This Row],[Customer Gender]]="", "FEMALE",orders[[#This Row],[Customer Gender]]="O", "OTHERS",TRUE,"UNKNOWN")</f>
        <v>UNKNOWN</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 "MALE",orders[[#This Row],[Customer Gender]]="", "FEMALE",orders[[#This Row],[Customer Gender]]="O", "OTHERS",TRUE,"UNKNOWN")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 "MALE",orders[[#This Row],[Customer Gender]]="", "FEMALE",orders[[#This Row],[Customer Gender]]="O", "OTHERS",TRUE,"UNKNOWN")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 "MALE",orders[[#This Row],[Customer Gender]]="", "FEMALE",orders[[#This Row],[Customer Gender]]="O", "OTHERS",TRUE,"UNKNOWN")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 "MALE",orders[[#This Row],[Customer Gender]]="", "FEMALE",orders[[#This Row],[Customer Gender]]="O", "OTHERS",TRUE,"UNKNOWN")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 "MALE",orders[[#This Row],[Customer Gender]]="", "FEMALE",orders[[#This Row],[Customer Gender]]="O", "OTHERS",TRUE,"UNKNOWN")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 "MALE",orders[[#This Row],[Customer Gender]]="", "FEMALE",orders[[#This Row],[Customer Gender]]="O", "OTHERS",TRUE,"UNKNOWN")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 "MALE",orders[[#This Row],[Customer Gender]]="", "FEMALE",orders[[#This Row],[Customer Gender]]="O", "OTHERS",TRUE,"UNKNOWN")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 "MALE",orders[[#This Row],[Customer Gender]]="", "FEMALE",orders[[#This Row],[Customer Gender]]="O", "OTHERS",TRUE,"UNKNOWN")</f>
        <v>UNKNOWN</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 "MALE",orders[[#This Row],[Customer Gender]]="", "FEMALE",orders[[#This Row],[Customer Gender]]="O", "OTHERS",TRUE,"UNKNOWN")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 "MALE",orders[[#This Row],[Customer Gender]]="", "FEMALE",orders[[#This Row],[Customer Gender]]="O", "OTHERS",TRUE,"UNKNOWN")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 "MALE",orders[[#This Row],[Customer Gender]]="", "FEMALE",orders[[#This Row],[Customer Gender]]="O", "OTHERS",TRUE,"UNKNOWN")</f>
        <v>FEMALE</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 "MALE",orders[[#This Row],[Customer Gender]]="", "FEMALE",orders[[#This Row],[Customer Gender]]="O", "OTHERS",TRUE,"UNKNOWN")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 "MALE",orders[[#This Row],[Customer Gender]]="", "FEMALE",orders[[#This Row],[Customer Gender]]="O", "OTHERS",TRUE,"UNKNOWN")</f>
        <v>UNKNOWN</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 "MALE",orders[[#This Row],[Customer Gender]]="", "FEMALE",orders[[#This Row],[Customer Gender]]="O", "OTHERS",TRUE,"UNKNOWN")</f>
        <v>UNKNOWN</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 "MALE",orders[[#This Row],[Customer Gender]]="", "FEMALE",orders[[#This Row],[Customer Gender]]="O", "OTHERS",TRUE,"UNKNOWN")</f>
        <v>UNKNOWN</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 "MALE",orders[[#This Row],[Customer Gender]]="", "FEMALE",orders[[#This Row],[Customer Gender]]="O", "OTHERS",TRUE,"UNKNOWN")</f>
        <v>UNKNOWN</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 "MALE",orders[[#This Row],[Customer Gender]]="", "FEMALE",orders[[#This Row],[Customer Gender]]="O", "OTHERS",TRUE,"UNKNOWN")</f>
        <v>UNKNOWN</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 "MALE",orders[[#This Row],[Customer Gender]]="", "FEMALE",orders[[#This Row],[Customer Gender]]="O", "OTHERS",TRUE,"UNKNOWN")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 "MALE",orders[[#This Row],[Customer Gender]]="", "FEMALE",orders[[#This Row],[Customer Gender]]="O", "OTHERS",TRUE,"UNKNOWN")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 "MALE",orders[[#This Row],[Customer Gender]]="", "FEMALE",orders[[#This Row],[Customer Gender]]="O", "OTHERS",TRUE,"UNKNOWN")</f>
        <v>UNKNOWN</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 "MALE",orders[[#This Row],[Customer Gender]]="", "FEMALE",orders[[#This Row],[Customer Gender]]="O", "OTHERS",TRUE,"UNKNOWN")</f>
        <v>UNKNOWN</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 "MALE",orders[[#This Row],[Customer Gender]]="", "FEMALE",orders[[#This Row],[Customer Gender]]="O", "OTHERS",TRUE,"UNKNOWN")</f>
        <v>UNKNOWN</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 "MALE",orders[[#This Row],[Customer Gender]]="", "FEMALE",orders[[#This Row],[Customer Gender]]="O", "OTHERS",TRUE,"UNKNOWN")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 "MALE",orders[[#This Row],[Customer Gender]]="", "FEMALE",orders[[#This Row],[Customer Gender]]="O", "OTHERS",TRUE,"UNKNOWN")</f>
        <v>UNKNOWN</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 "MALE",orders[[#This Row],[Customer Gender]]="", "FEMALE",orders[[#This Row],[Customer Gender]]="O", "OTHERS",TRUE,"UNKNOWN")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 "MALE",orders[[#This Row],[Customer Gender]]="", "FEMALE",orders[[#This Row],[Customer Gender]]="O", "OTHERS",TRUE,"UNKNOWN")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 "MALE",orders[[#This Row],[Customer Gender]]="", "FEMALE",orders[[#This Row],[Customer Gender]]="O", "OTHERS",TRUE,"UNKNOWN")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 "MALE",orders[[#This Row],[Customer Gender]]="", "FEMALE",orders[[#This Row],[Customer Gender]]="O", "OTHERS",TRUE,"UNKNOWN")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 "MALE",orders[[#This Row],[Customer Gender]]="", "FEMALE",orders[[#This Row],[Customer Gender]]="O", "OTHERS",TRUE,"UNKNOWN")</f>
        <v>UNKNOWN</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 "MALE",orders[[#This Row],[Customer Gender]]="", "FEMALE",orders[[#This Row],[Customer Gender]]="O", "OTHERS",TRUE,"UNKNOWN")</f>
        <v>UNKNOWN</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 "MALE",orders[[#This Row],[Customer Gender]]="", "FEMALE",orders[[#This Row],[Customer Gender]]="O", "OTHERS",TRUE,"UNKNOWN")</f>
        <v>UNKNOWN</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 "MALE",orders[[#This Row],[Customer Gender]]="", "FEMALE",orders[[#This Row],[Customer Gender]]="O", "OTHERS",TRUE,"UNKNOWN")</f>
        <v>FEMALE</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 "MALE",orders[[#This Row],[Customer Gender]]="", "FEMALE",orders[[#This Row],[Customer Gender]]="O", "OTHERS",TRUE,"UNKNOWN")</f>
        <v>UNKNOWN</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 "MALE",orders[[#This Row],[Customer Gender]]="", "FEMALE",orders[[#This Row],[Customer Gender]]="O", "OTHERS",TRUE,"UNKNOWN")</f>
        <v>UNKNOWN</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 "MALE",orders[[#This Row],[Customer Gender]]="", "FEMALE",orders[[#This Row],[Customer Gender]]="O", "OTHERS",TRUE,"UNKNOWN")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 "MALE",orders[[#This Row],[Customer Gender]]="", "FEMALE",orders[[#This Row],[Customer Gender]]="O", "OTHERS",TRUE,"UNKNOWN")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 "MALE",orders[[#This Row],[Customer Gender]]="", "FEMALE",orders[[#This Row],[Customer Gender]]="O", "OTHERS",TRUE,"UNKNOWN")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 "MALE",orders[[#This Row],[Customer Gender]]="", "FEMALE",orders[[#This Row],[Customer Gender]]="O", "OTHERS",TRUE,"UNKNOWN")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 "MALE",orders[[#This Row],[Customer Gender]]="", "FEMALE",orders[[#This Row],[Customer Gender]]="O", "OTHERS",TRUE,"UNKNOWN")</f>
        <v>UNKNOWN</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 "MALE",orders[[#This Row],[Customer Gender]]="", "FEMALE",orders[[#This Row],[Customer Gender]]="O", "OTHERS",TRUE,"UNKNOWN")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 "MALE",orders[[#This Row],[Customer Gender]]="", "FEMALE",orders[[#This Row],[Customer Gender]]="O", "OTHERS",TRUE,"UNKNOWN")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 "MALE",orders[[#This Row],[Customer Gender]]="", "FEMALE",orders[[#This Row],[Customer Gender]]="O", "OTHERS",TRUE,"UNKNOWN")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 "MALE",orders[[#This Row],[Customer Gender]]="", "FEMALE",orders[[#This Row],[Customer Gender]]="O", "OTHERS",TRUE,"UNKNOWN")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 "MALE",orders[[#This Row],[Customer Gender]]="", "FEMALE",orders[[#This Row],[Customer Gender]]="O", "OTHERS",TRUE,"UNKNOWN")</f>
        <v>UNKNOWN</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 "MALE",orders[[#This Row],[Customer Gender]]="", "FEMALE",orders[[#This Row],[Customer Gender]]="O", "OTHERS",TRUE,"UNKNOWN")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 "MALE",orders[[#This Row],[Customer Gender]]="", "FEMALE",orders[[#This Row],[Customer Gender]]="O", "OTHERS",TRUE,"UNKNOWN")</f>
        <v>FEMALE</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 "MALE",orders[[#This Row],[Customer Gender]]="", "FEMALE",orders[[#This Row],[Customer Gender]]="O", "OTHERS",TRUE,"UNKNOWN")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 "MALE",orders[[#This Row],[Customer Gender]]="", "FEMALE",orders[[#This Row],[Customer Gender]]="O", "OTHERS",TRUE,"UNKNOWN")</f>
        <v>UNKNOWN</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 "MALE",orders[[#This Row],[Customer Gender]]="", "FEMALE",orders[[#This Row],[Customer Gender]]="O", "OTHERS",TRUE,"UNKNOWN")</f>
        <v>UNKNOWN</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 "MALE",orders[[#This Row],[Customer Gender]]="", "FEMALE",orders[[#This Row],[Customer Gender]]="O", "OTHERS",TRUE,"UNKNOWN")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 "MALE",orders[[#This Row],[Customer Gender]]="", "FEMALE",orders[[#This Row],[Customer Gender]]="O", "OTHERS",TRUE,"UNKNOWN")</f>
        <v>UNKNOWN</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 "MALE",orders[[#This Row],[Customer Gender]]="", "FEMALE",orders[[#This Row],[Customer Gender]]="O", "OTHERS",TRUE,"UNKNOWN")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 "MALE",orders[[#This Row],[Customer Gender]]="", "FEMALE",orders[[#This Row],[Customer Gender]]="O", "OTHERS",TRUE,"UNKNOWN")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 "MALE",orders[[#This Row],[Customer Gender]]="", "FEMALE",orders[[#This Row],[Customer Gender]]="O", "OTHERS",TRUE,"UNKNOWN")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 "MALE",orders[[#This Row],[Customer Gender]]="", "FEMALE",orders[[#This Row],[Customer Gender]]="O", "OTHERS",TRUE,"UNKNOWN")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 "MALE",orders[[#This Row],[Customer Gender]]="", "FEMALE",orders[[#This Row],[Customer Gender]]="O", "OTHERS",TRUE,"UNKNOWN")</f>
        <v>UNKNOWN</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 "MALE",orders[[#This Row],[Customer Gender]]="", "FEMALE",orders[[#This Row],[Customer Gender]]="O", "OTHERS",TRUE,"UNKNOWN")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 "MALE",orders[[#This Row],[Customer Gender]]="", "FEMALE",orders[[#This Row],[Customer Gender]]="O", "OTHERS",TRUE,"UNKNOWN")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 "MALE",orders[[#This Row],[Customer Gender]]="", "FEMALE",orders[[#This Row],[Customer Gender]]="O", "OTHERS",TRUE,"UNKNOWN")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 "MALE",orders[[#This Row],[Customer Gender]]="", "FEMALE",orders[[#This Row],[Customer Gender]]="O", "OTHERS",TRUE,"UNKNOWN")</f>
        <v>UNKNOWN</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 "MALE",orders[[#This Row],[Customer Gender]]="", "FEMALE",orders[[#This Row],[Customer Gender]]="O", "OTHERS",TRUE,"UNKNOWN")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 "MALE",orders[[#This Row],[Customer Gender]]="", "FEMALE",orders[[#This Row],[Customer Gender]]="O", "OTHERS",TRUE,"UNKNOWN")</f>
        <v>UNKNOWN</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 "MALE",orders[[#This Row],[Customer Gender]]="", "FEMALE",orders[[#This Row],[Customer Gender]]="O", "OTHERS",TRUE,"UNKNOWN")</f>
        <v>UNKNOWN</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 "MALE",orders[[#This Row],[Customer Gender]]="", "FEMALE",orders[[#This Row],[Customer Gender]]="O", "OTHERS",TRUE,"UNKNOWN")</f>
        <v>UNKNOWN</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 "MALE",orders[[#This Row],[Customer Gender]]="", "FEMALE",orders[[#This Row],[Customer Gender]]="O", "OTHERS",TRUE,"UNKNOWN")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 "MALE",orders[[#This Row],[Customer Gender]]="", "FEMALE",orders[[#This Row],[Customer Gender]]="O", "OTHERS",TRUE,"UNKNOWN")</f>
        <v>OTHERS</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 "MALE",orders[[#This Row],[Customer Gender]]="", "FEMALE",orders[[#This Row],[Customer Gender]]="O", "OTHERS",TRUE,"UNKNOWN")</f>
        <v>UNKNOWN</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 "MALE",orders[[#This Row],[Customer Gender]]="", "FEMALE",orders[[#This Row],[Customer Gender]]="O", "OTHERS",TRUE,"UNKNOWN")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 "MALE",orders[[#This Row],[Customer Gender]]="", "FEMALE",orders[[#This Row],[Customer Gender]]="O", "OTHERS",TRUE,"UNKNOWN")</f>
        <v>UNKNOWN</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 "MALE",orders[[#This Row],[Customer Gender]]="", "FEMALE",orders[[#This Row],[Customer Gender]]="O", "OTHERS",TRUE,"UNKNOWN")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 "MALE",orders[[#This Row],[Customer Gender]]="", "FEMALE",orders[[#This Row],[Customer Gender]]="O", "OTHERS",TRUE,"UNKNOWN")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 "MALE",orders[[#This Row],[Customer Gender]]="", "FEMALE",orders[[#This Row],[Customer Gender]]="O", "OTHERS",TRUE,"UNKNOWN")</f>
        <v>UNKNOWN</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 "MALE",orders[[#This Row],[Customer Gender]]="", "FEMALE",orders[[#This Row],[Customer Gender]]="O", "OTHERS",TRUE,"UNKNOWN")</f>
        <v>UNKNOWN</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 "MALE",orders[[#This Row],[Customer Gender]]="", "FEMALE",orders[[#This Row],[Customer Gender]]="O", "OTHERS",TRUE,"UNKNOWN")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 "MALE",orders[[#This Row],[Customer Gender]]="", "FEMALE",orders[[#This Row],[Customer Gender]]="O", "OTHERS",TRUE,"UNKNOWN")</f>
        <v>FEMALE</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 "MALE",orders[[#This Row],[Customer Gender]]="", "FEMALE",orders[[#This Row],[Customer Gender]]="O", "OTHERS",TRUE,"UNKNOWN")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 "MALE",orders[[#This Row],[Customer Gender]]="", "FEMALE",orders[[#This Row],[Customer Gender]]="O", "OTHERS",TRUE,"UNKNOWN")</f>
        <v>UNKNOWN</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 "MALE",orders[[#This Row],[Customer Gender]]="", "FEMALE",orders[[#This Row],[Customer Gender]]="O", "OTHERS",TRUE,"UNKNOWN")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 "MALE",orders[[#This Row],[Customer Gender]]="", "FEMALE",orders[[#This Row],[Customer Gender]]="O", "OTHERS",TRUE,"UNKNOWN")</f>
        <v>FEMALE</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 "MALE",orders[[#This Row],[Customer Gender]]="", "FEMALE",orders[[#This Row],[Customer Gender]]="O", "OTHERS",TRUE,"UNKNOWN")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 "MALE",orders[[#This Row],[Customer Gender]]="", "FEMALE",orders[[#This Row],[Customer Gender]]="O", "OTHERS",TRUE,"UNKNOWN")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 "MALE",orders[[#This Row],[Customer Gender]]="", "FEMALE",orders[[#This Row],[Customer Gender]]="O", "OTHERS",TRUE,"UNKNOWN")</f>
        <v>FEMALE</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 "MALE",orders[[#This Row],[Customer Gender]]="", "FEMALE",orders[[#This Row],[Customer Gender]]="O", "OTHERS",TRUE,"UNKNOWN")</f>
        <v>UNKNOWN</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 "MALE",orders[[#This Row],[Customer Gender]]="", "FEMALE",orders[[#This Row],[Customer Gender]]="O", "OTHERS",TRUE,"UNKNOWN")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 "MALE",orders[[#This Row],[Customer Gender]]="", "FEMALE",orders[[#This Row],[Customer Gender]]="O", "OTHERS",TRUE,"UNKNOWN")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 "MALE",orders[[#This Row],[Customer Gender]]="", "FEMALE",orders[[#This Row],[Customer Gender]]="O", "OTHERS",TRUE,"UNKNOWN")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 "MALE",orders[[#This Row],[Customer Gender]]="", "FEMALE",orders[[#This Row],[Customer Gender]]="O", "OTHERS",TRUE,"UNKNOWN")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 "MALE",orders[[#This Row],[Customer Gender]]="", "FEMALE",orders[[#This Row],[Customer Gender]]="O", "OTHERS",TRUE,"UNKNOWN")</f>
        <v>UNKNOWN</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 "MALE",orders[[#This Row],[Customer Gender]]="", "FEMALE",orders[[#This Row],[Customer Gender]]="O", "OTHERS",TRUE,"UNKNOWN")</f>
        <v>OTHERS</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 "MALE",orders[[#This Row],[Customer Gender]]="", "FEMALE",orders[[#This Row],[Customer Gender]]="O", "OTHERS",TRUE,"UNKNOWN")</f>
        <v>UNKNOWN</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 "MALE",orders[[#This Row],[Customer Gender]]="", "FEMALE",orders[[#This Row],[Customer Gender]]="O", "OTHERS",TRUE,"UNKNOWN")</f>
        <v>UNKNOWN</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 "MALE",orders[[#This Row],[Customer Gender]]="", "FEMALE",orders[[#This Row],[Customer Gender]]="O", "OTHERS",TRUE,"UNKNOWN")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 "MALE",orders[[#This Row],[Customer Gender]]="", "FEMALE",orders[[#This Row],[Customer Gender]]="O", "OTHERS",TRUE,"UNKNOWN")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 "MALE",orders[[#This Row],[Customer Gender]]="", "FEMALE",orders[[#This Row],[Customer Gender]]="O", "OTHERS",TRUE,"UNKNOWN")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 "MALE",orders[[#This Row],[Customer Gender]]="", "FEMALE",orders[[#This Row],[Customer Gender]]="O", "OTHERS",TRUE,"UNKNOWN")</f>
        <v>UNKNOWN</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 "MALE",orders[[#This Row],[Customer Gender]]="", "FEMALE",orders[[#This Row],[Customer Gender]]="O", "OTHERS",TRUE,"UNKNOWN")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 "MALE",orders[[#This Row],[Customer Gender]]="", "FEMALE",orders[[#This Row],[Customer Gender]]="O", "OTHERS",TRUE,"UNKNOWN")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 "MALE",orders[[#This Row],[Customer Gender]]="", "FEMALE",orders[[#This Row],[Customer Gender]]="O", "OTHERS",TRUE,"UNKNOWN")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 "MALE",orders[[#This Row],[Customer Gender]]="", "FEMALE",orders[[#This Row],[Customer Gender]]="O", "OTHERS",TRUE,"UNKNOWN")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 "MALE",orders[[#This Row],[Customer Gender]]="", "FEMALE",orders[[#This Row],[Customer Gender]]="O", "OTHERS",TRUE,"UNKNOWN")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 "MALE",orders[[#This Row],[Customer Gender]]="", "FEMALE",orders[[#This Row],[Customer Gender]]="O", "OTHERS",TRUE,"UNKNOWN")</f>
        <v>UNKNOWN</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 "MALE",orders[[#This Row],[Customer Gender]]="", "FEMALE",orders[[#This Row],[Customer Gender]]="O", "OTHERS",TRUE,"UNKNOWN")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 "MALE",orders[[#This Row],[Customer Gender]]="", "FEMALE",orders[[#This Row],[Customer Gender]]="O", "OTHERS",TRUE,"UNKNOWN")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 "MALE",orders[[#This Row],[Customer Gender]]="", "FEMALE",orders[[#This Row],[Customer Gender]]="O", "OTHERS",TRUE,"UNKNOWN")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 "MALE",orders[[#This Row],[Customer Gender]]="", "FEMALE",orders[[#This Row],[Customer Gender]]="O", "OTHERS",TRUE,"UNKNOWN")</f>
        <v>FEMALE</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 "MALE",orders[[#This Row],[Customer Gender]]="", "FEMALE",orders[[#This Row],[Customer Gender]]="O", "OTHERS",TRUE,"UNKNOWN")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 "MALE",orders[[#This Row],[Customer Gender]]="", "FEMALE",orders[[#This Row],[Customer Gender]]="O", "OTHERS",TRUE,"UNKNOWN")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 "MALE",orders[[#This Row],[Customer Gender]]="", "FEMALE",orders[[#This Row],[Customer Gender]]="O", "OTHERS",TRUE,"UNKNOWN")</f>
        <v>UNKNOWN</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 "MALE",orders[[#This Row],[Customer Gender]]="", "FEMALE",orders[[#This Row],[Customer Gender]]="O", "OTHERS",TRUE,"UNKNOWN")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 "MALE",orders[[#This Row],[Customer Gender]]="", "FEMALE",orders[[#This Row],[Customer Gender]]="O", "OTHERS",TRUE,"UNKNOWN")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 "MALE",orders[[#This Row],[Customer Gender]]="", "FEMALE",orders[[#This Row],[Customer Gender]]="O", "OTHERS",TRUE,"UNKNOWN")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 "MALE",orders[[#This Row],[Customer Gender]]="", "FEMALE",orders[[#This Row],[Customer Gender]]="O", "OTHERS",TRUE,"UNKNOWN")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 "MALE",orders[[#This Row],[Customer Gender]]="", "FEMALE",orders[[#This Row],[Customer Gender]]="O", "OTHERS",TRUE,"UNKNOWN")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 "MALE",orders[[#This Row],[Customer Gender]]="", "FEMALE",orders[[#This Row],[Customer Gender]]="O", "OTHERS",TRUE,"UNKNOWN")</f>
        <v>UNKNOWN</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 "MALE",orders[[#This Row],[Customer Gender]]="", "FEMALE",orders[[#This Row],[Customer Gender]]="O", "OTHERS",TRUE,"UNKNOWN")</f>
        <v>UNKNOWN</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 "MALE",orders[[#This Row],[Customer Gender]]="", "FEMALE",orders[[#This Row],[Customer Gender]]="O", "OTHERS",TRUE,"UNKNOWN")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 "MALE",orders[[#This Row],[Customer Gender]]="", "FEMALE",orders[[#This Row],[Customer Gender]]="O", "OTHERS",TRUE,"UNKNOWN")</f>
        <v>UNKNOWN</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 "MALE",orders[[#This Row],[Customer Gender]]="", "FEMALE",orders[[#This Row],[Customer Gender]]="O", "OTHERS",TRUE,"UNKNOWN")</f>
        <v>UNKNOWN</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 "MALE",orders[[#This Row],[Customer Gender]]="", "FEMALE",orders[[#This Row],[Customer Gender]]="O", "OTHERS",TRUE,"UNKNOWN")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 "MALE",orders[[#This Row],[Customer Gender]]="", "FEMALE",orders[[#This Row],[Customer Gender]]="O", "OTHERS",TRUE,"UNKNOWN")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 "MALE",orders[[#This Row],[Customer Gender]]="", "FEMALE",orders[[#This Row],[Customer Gender]]="O", "OTHERS",TRUE,"UNKNOWN")</f>
        <v>UNKNOWN</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 "MALE",orders[[#This Row],[Customer Gender]]="", "FEMALE",orders[[#This Row],[Customer Gender]]="O", "OTHERS",TRUE,"UNKNOWN")</f>
        <v>UNKNOWN</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 "MALE",orders[[#This Row],[Customer Gender]]="", "FEMALE",orders[[#This Row],[Customer Gender]]="O", "OTHERS",TRUE,"UNKNOWN")</f>
        <v>UNKNOWN</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 "MALE",orders[[#This Row],[Customer Gender]]="", "FEMALE",orders[[#This Row],[Customer Gender]]="O", "OTHERS",TRUE,"UNKNOWN")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 "MALE",orders[[#This Row],[Customer Gender]]="", "FEMALE",orders[[#This Row],[Customer Gender]]="O", "OTHERS",TRUE,"UNKNOWN")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 "MALE",orders[[#This Row],[Customer Gender]]="", "FEMALE",orders[[#This Row],[Customer Gender]]="O", "OTHERS",TRUE,"UNKNOWN")</f>
        <v>OTHERS</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 "MALE",orders[[#This Row],[Customer Gender]]="", "FEMALE",orders[[#This Row],[Customer Gender]]="O", "OTHERS",TRUE,"UNKNOWN")</f>
        <v>UNKNOWN</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 "MALE",orders[[#This Row],[Customer Gender]]="", "FEMALE",orders[[#This Row],[Customer Gender]]="O", "OTHERS",TRUE,"UNKNOWN")</f>
        <v>OTHERS</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 "MALE",orders[[#This Row],[Customer Gender]]="", "FEMALE",orders[[#This Row],[Customer Gender]]="O", "OTHERS",TRUE,"UNKNOWN")</f>
        <v>UNKNOWN</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 "MALE",orders[[#This Row],[Customer Gender]]="", "FEMALE",orders[[#This Row],[Customer Gender]]="O", "OTHERS",TRUE,"UNKNOWN")</f>
        <v>UNKNOWN</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 "MALE",orders[[#This Row],[Customer Gender]]="", "FEMALE",orders[[#This Row],[Customer Gender]]="O", "OTHERS",TRUE,"UNKNOWN")</f>
        <v>UNKNOWN</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 "MALE",orders[[#This Row],[Customer Gender]]="", "FEMALE",orders[[#This Row],[Customer Gender]]="O", "OTHERS",TRUE,"UNKNOWN")</f>
        <v>UNKNOWN</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 "MALE",orders[[#This Row],[Customer Gender]]="", "FEMALE",orders[[#This Row],[Customer Gender]]="O", "OTHERS",TRUE,"UNKNOWN")</f>
        <v>UNKNOWN</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 "MALE",orders[[#This Row],[Customer Gender]]="", "FEMALE",orders[[#This Row],[Customer Gender]]="O", "OTHERS",TRUE,"UNKNOWN")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 "MALE",orders[[#This Row],[Customer Gender]]="", "FEMALE",orders[[#This Row],[Customer Gender]]="O", "OTHERS",TRUE,"UNKNOWN")</f>
        <v>UNKNOWN</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 "MALE",orders[[#This Row],[Customer Gender]]="", "FEMALE",orders[[#This Row],[Customer Gender]]="O", "OTHERS",TRUE,"UNKNOWN")</f>
        <v>UNKNOWN</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 "MALE",orders[[#This Row],[Customer Gender]]="", "FEMALE",orders[[#This Row],[Customer Gender]]="O", "OTHERS",TRUE,"UNKNOWN")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 "MALE",orders[[#This Row],[Customer Gender]]="", "FEMALE",orders[[#This Row],[Customer Gender]]="O", "OTHERS",TRUE,"UNKNOWN")</f>
        <v>UNKNOWN</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 "MALE",orders[[#This Row],[Customer Gender]]="", "FEMALE",orders[[#This Row],[Customer Gender]]="O", "OTHERS",TRUE,"UNKNOWN")</f>
        <v>UNKNOWN</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 "MALE",orders[[#This Row],[Customer Gender]]="", "FEMALE",orders[[#This Row],[Customer Gender]]="O", "OTHERS",TRUE,"UNKNOWN")</f>
        <v>UNKNOWN</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 "MALE",orders[[#This Row],[Customer Gender]]="", "FEMALE",orders[[#This Row],[Customer Gender]]="O", "OTHERS",TRUE,"UNKNOWN")</f>
        <v>FEMALE</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 "MALE",orders[[#This Row],[Customer Gender]]="", "FEMALE",orders[[#This Row],[Customer Gender]]="O", "OTHERS",TRUE,"UNKNOWN")</f>
        <v>UNKNOWN</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 "MALE",orders[[#This Row],[Customer Gender]]="", "FEMALE",orders[[#This Row],[Customer Gender]]="O", "OTHERS",TRUE,"UNKNOWN")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 "MALE",orders[[#This Row],[Customer Gender]]="", "FEMALE",orders[[#This Row],[Customer Gender]]="O", "OTHERS",TRUE,"UNKNOWN")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 "MALE",orders[[#This Row],[Customer Gender]]="", "FEMALE",orders[[#This Row],[Customer Gender]]="O", "OTHERS",TRUE,"UNKNOWN")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 "MALE",orders[[#This Row],[Customer Gender]]="", "FEMALE",orders[[#This Row],[Customer Gender]]="O", "OTHERS",TRUE,"UNKNOWN")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 "MALE",orders[[#This Row],[Customer Gender]]="", "FEMALE",orders[[#This Row],[Customer Gender]]="O", "OTHERS",TRUE,"UNKNOWN")</f>
        <v>UNKNOWN</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 "MALE",orders[[#This Row],[Customer Gender]]="", "FEMALE",orders[[#This Row],[Customer Gender]]="O", "OTHERS",TRUE,"UNKNOWN")</f>
        <v>UNKNOWN</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 "MALE",orders[[#This Row],[Customer Gender]]="", "FEMALE",orders[[#This Row],[Customer Gender]]="O", "OTHERS",TRUE,"UNKNOWN")</f>
        <v>UNKNOWN</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 "MALE",orders[[#This Row],[Customer Gender]]="", "FEMALE",orders[[#This Row],[Customer Gender]]="O", "OTHERS",TRUE,"UNKNOWN")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 "MALE",orders[[#This Row],[Customer Gender]]="", "FEMALE",orders[[#This Row],[Customer Gender]]="O", "OTHERS",TRUE,"UNKNOWN")</f>
        <v>UNKNOWN</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 "MALE",orders[[#This Row],[Customer Gender]]="", "FEMALE",orders[[#This Row],[Customer Gender]]="O", "OTHERS",TRUE,"UNKNOWN")</f>
        <v>UNKNOWN</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 "MALE",orders[[#This Row],[Customer Gender]]="", "FEMALE",orders[[#This Row],[Customer Gender]]="O", "OTHERS",TRUE,"UNKNOWN")</f>
        <v>UNKNOWN</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 "MALE",orders[[#This Row],[Customer Gender]]="", "FEMALE",orders[[#This Row],[Customer Gender]]="O", "OTHERS",TRUE,"UNKNOWN")</f>
        <v>UNKNOWN</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 "MALE",orders[[#This Row],[Customer Gender]]="", "FEMALE",orders[[#This Row],[Customer Gender]]="O", "OTHERS",TRUE,"UNKNOWN")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 "MALE",orders[[#This Row],[Customer Gender]]="", "FEMALE",orders[[#This Row],[Customer Gender]]="O", "OTHERS",TRUE,"UNKNOWN")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 "MALE",orders[[#This Row],[Customer Gender]]="", "FEMALE",orders[[#This Row],[Customer Gender]]="O", "OTHERS",TRUE,"UNKNOWN")</f>
        <v>OTHERS</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 "MALE",orders[[#This Row],[Customer Gender]]="", "FEMALE",orders[[#This Row],[Customer Gender]]="O", "OTHERS",TRUE,"UNKNOWN")</f>
        <v>UNKNOWN</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 "MALE",orders[[#This Row],[Customer Gender]]="", "FEMALE",orders[[#This Row],[Customer Gender]]="O", "OTHERS",TRUE,"UNKNOWN")</f>
        <v>UNKNOWN</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 "MALE",orders[[#This Row],[Customer Gender]]="", "FEMALE",orders[[#This Row],[Customer Gender]]="O", "OTHERS",TRUE,"UNKNOWN")</f>
        <v>UNKNOWN</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 "MALE",orders[[#This Row],[Customer Gender]]="", "FEMALE",orders[[#This Row],[Customer Gender]]="O", "OTHERS",TRUE,"UNKNOWN")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 "MALE",orders[[#This Row],[Customer Gender]]="", "FEMALE",orders[[#This Row],[Customer Gender]]="O", "OTHERS",TRUE,"UNKNOWN")</f>
        <v>UNKNOWN</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 "MALE",orders[[#This Row],[Customer Gender]]="", "FEMALE",orders[[#This Row],[Customer Gender]]="O", "OTHERS",TRUE,"UNKNOWN")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 "MALE",orders[[#This Row],[Customer Gender]]="", "FEMALE",orders[[#This Row],[Customer Gender]]="O", "OTHERS",TRUE,"UNKNOWN")</f>
        <v>FEMALE</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 "MALE",orders[[#This Row],[Customer Gender]]="", "FEMALE",orders[[#This Row],[Customer Gender]]="O", "OTHERS",TRUE,"UNKNOWN")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 "MALE",orders[[#This Row],[Customer Gender]]="", "FEMALE",orders[[#This Row],[Customer Gender]]="O", "OTHERS",TRUE,"UNKNOWN")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 "MALE",orders[[#This Row],[Customer Gender]]="", "FEMALE",orders[[#This Row],[Customer Gender]]="O", "OTHERS",TRUE,"UNKNOWN")</f>
        <v>UNKNOWN</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 "MALE",orders[[#This Row],[Customer Gender]]="", "FEMALE",orders[[#This Row],[Customer Gender]]="O", "OTHERS",TRUE,"UNKNOWN")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 "MALE",orders[[#This Row],[Customer Gender]]="", "FEMALE",orders[[#This Row],[Customer Gender]]="O", "OTHERS",TRUE,"UNKNOWN")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 "MALE",orders[[#This Row],[Customer Gender]]="", "FEMALE",orders[[#This Row],[Customer Gender]]="O", "OTHERS",TRUE,"UNKNOWN")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 "MALE",orders[[#This Row],[Customer Gender]]="", "FEMALE",orders[[#This Row],[Customer Gender]]="O", "OTHERS",TRUE,"UNKNOWN")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 "MALE",orders[[#This Row],[Customer Gender]]="", "FEMALE",orders[[#This Row],[Customer Gender]]="O", "OTHERS",TRUE,"UNKNOWN")</f>
        <v>UNKNOWN</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 "MALE",orders[[#This Row],[Customer Gender]]="", "FEMALE",orders[[#This Row],[Customer Gender]]="O", "OTHERS",TRUE,"UNKNOWN")</f>
        <v>UNKNOWN</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 "MALE",orders[[#This Row],[Customer Gender]]="", "FEMALE",orders[[#This Row],[Customer Gender]]="O", "OTHERS",TRUE,"UNKNOWN")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 "MALE",orders[[#This Row],[Customer Gender]]="", "FEMALE",orders[[#This Row],[Customer Gender]]="O", "OTHERS",TRUE,"UNKNOWN")</f>
        <v>UNKNOWN</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 "MALE",orders[[#This Row],[Customer Gender]]="", "FEMALE",orders[[#This Row],[Customer Gender]]="O", "OTHERS",TRUE,"UNKNOWN")</f>
        <v>UNKNOWN</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 "MALE",orders[[#This Row],[Customer Gender]]="", "FEMALE",orders[[#This Row],[Customer Gender]]="O", "OTHERS",TRUE,"UNKNOWN")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 "MALE",orders[[#This Row],[Customer Gender]]="", "FEMALE",orders[[#This Row],[Customer Gender]]="O", "OTHERS",TRUE,"UNKNOWN")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 "MALE",orders[[#This Row],[Customer Gender]]="", "FEMALE",orders[[#This Row],[Customer Gender]]="O", "OTHERS",TRUE,"UNKNOWN")</f>
        <v>UNKNOWN</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 "MALE",orders[[#This Row],[Customer Gender]]="", "FEMALE",orders[[#This Row],[Customer Gender]]="O", "OTHERS",TRUE,"UNKNOWN")</f>
        <v>FEMALE</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 "MALE",orders[[#This Row],[Customer Gender]]="", "FEMALE",orders[[#This Row],[Customer Gender]]="O", "OTHERS",TRUE,"UNKNOWN")</f>
        <v>FEMALE</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 "MALE",orders[[#This Row],[Customer Gender]]="", "FEMALE",orders[[#This Row],[Customer Gender]]="O", "OTHERS",TRUE,"UNKNOWN")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 "MALE",orders[[#This Row],[Customer Gender]]="", "FEMALE",orders[[#This Row],[Customer Gender]]="O", "OTHERS",TRUE,"UNKNOWN")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 "MALE",orders[[#This Row],[Customer Gender]]="", "FEMALE",orders[[#This Row],[Customer Gender]]="O", "OTHERS",TRUE,"UNKNOWN")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 "MALE",orders[[#This Row],[Customer Gender]]="", "FEMALE",orders[[#This Row],[Customer Gender]]="O", "OTHERS",TRUE,"UNKNOWN")</f>
        <v>UNKNOWN</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 "MALE",orders[[#This Row],[Customer Gender]]="", "FEMALE",orders[[#This Row],[Customer Gender]]="O", "OTHERS",TRUE,"UNKNOWN")</f>
        <v>UNKNOWN</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 "MALE",orders[[#This Row],[Customer Gender]]="", "FEMALE",orders[[#This Row],[Customer Gender]]="O", "OTHERS",TRUE,"UNKNOWN")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 "MALE",orders[[#This Row],[Customer Gender]]="", "FEMALE",orders[[#This Row],[Customer Gender]]="O", "OTHERS",TRUE,"UNKNOWN")</f>
        <v>UNKNOWN</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 "MALE",orders[[#This Row],[Customer Gender]]="", "FEMALE",orders[[#This Row],[Customer Gender]]="O", "OTHERS",TRUE,"UNKNOWN")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 "MALE",orders[[#This Row],[Customer Gender]]="", "FEMALE",orders[[#This Row],[Customer Gender]]="O", "OTHERS",TRUE,"UNKNOWN")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 "MALE",orders[[#This Row],[Customer Gender]]="", "FEMALE",orders[[#This Row],[Customer Gender]]="O", "OTHERS",TRUE,"UNKNOWN")</f>
        <v>UNKNOWN</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 "MALE",orders[[#This Row],[Customer Gender]]="", "FEMALE",orders[[#This Row],[Customer Gender]]="O", "OTHERS",TRUE,"UNKNOWN")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 "MALE",orders[[#This Row],[Customer Gender]]="", "FEMALE",orders[[#This Row],[Customer Gender]]="O", "OTHERS",TRUE,"UNKNOWN")</f>
        <v>UNKNOWN</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 "MALE",orders[[#This Row],[Customer Gender]]="", "FEMALE",orders[[#This Row],[Customer Gender]]="O", "OTHERS",TRUE,"UNKNOWN")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 "MALE",orders[[#This Row],[Customer Gender]]="", "FEMALE",orders[[#This Row],[Customer Gender]]="O", "OTHERS",TRUE,"UNKNOWN")</f>
        <v>UNKNOWN</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 "MALE",orders[[#This Row],[Customer Gender]]="", "FEMALE",orders[[#This Row],[Customer Gender]]="O", "OTHERS",TRUE,"UNKNOWN")</f>
        <v>UNKNOWN</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 "MALE",orders[[#This Row],[Customer Gender]]="", "FEMALE",orders[[#This Row],[Customer Gender]]="O", "OTHERS",TRUE,"UNKNOWN")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 "MALE",orders[[#This Row],[Customer Gender]]="", "FEMALE",orders[[#This Row],[Customer Gender]]="O", "OTHERS",TRUE,"UNKNOWN")</f>
        <v>UNKNOWN</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 "MALE",orders[[#This Row],[Customer Gender]]="", "FEMALE",orders[[#This Row],[Customer Gender]]="O", "OTHERS",TRUE,"UNKNOWN")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 "MALE",orders[[#This Row],[Customer Gender]]="", "FEMALE",orders[[#This Row],[Customer Gender]]="O", "OTHERS",TRUE,"UNKNOWN")</f>
        <v>UNKNOWN</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 "MALE",orders[[#This Row],[Customer Gender]]="", "FEMALE",orders[[#This Row],[Customer Gender]]="O", "OTHERS",TRUE,"UNKNOWN")</f>
        <v>OTHERS</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 "MALE",orders[[#This Row],[Customer Gender]]="", "FEMALE",orders[[#This Row],[Customer Gender]]="O", "OTHERS",TRUE,"UNKNOWN")</f>
        <v>UNKNOWN</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 "MALE",orders[[#This Row],[Customer Gender]]="", "FEMALE",orders[[#This Row],[Customer Gender]]="O", "OTHERS",TRUE,"UNKNOWN")</f>
        <v>UNKNOWN</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 "MALE",orders[[#This Row],[Customer Gender]]="", "FEMALE",orders[[#This Row],[Customer Gender]]="O", "OTHERS",TRUE,"UNKNOWN")</f>
        <v>UNKNOWN</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 "MALE",orders[[#This Row],[Customer Gender]]="", "FEMALE",orders[[#This Row],[Customer Gender]]="O", "OTHERS",TRUE,"UNKNOWN")</f>
        <v>UNKNOWN</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 "MALE",orders[[#This Row],[Customer Gender]]="", "FEMALE",orders[[#This Row],[Customer Gender]]="O", "OTHERS",TRUE,"UNKNOWN")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 "MALE",orders[[#This Row],[Customer Gender]]="", "FEMALE",orders[[#This Row],[Customer Gender]]="O", "OTHERS",TRUE,"UNKNOWN")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 "MALE",orders[[#This Row],[Customer Gender]]="", "FEMALE",orders[[#This Row],[Customer Gender]]="O", "OTHERS",TRUE,"UNKNOWN")</f>
        <v>UNKNOWN</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 "MALE",orders[[#This Row],[Customer Gender]]="", "FEMALE",orders[[#This Row],[Customer Gender]]="O", "OTHERS",TRUE,"UNKNOWN")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 "MALE",orders[[#This Row],[Customer Gender]]="", "FEMALE",orders[[#This Row],[Customer Gender]]="O", "OTHERS",TRUE,"UNKNOWN")</f>
        <v>FEMALE</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 "MALE",orders[[#This Row],[Customer Gender]]="", "FEMALE",orders[[#This Row],[Customer Gender]]="O", "OTHERS",TRUE,"UNKNOWN")</f>
        <v>UNKNOWN</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 "MALE",orders[[#This Row],[Customer Gender]]="", "FEMALE",orders[[#This Row],[Customer Gender]]="O", "OTHERS",TRUE,"UNKNOWN")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 "MALE",orders[[#This Row],[Customer Gender]]="", "FEMALE",orders[[#This Row],[Customer Gender]]="O", "OTHERS",TRUE,"UNKNOWN")</f>
        <v>UNKNOWN</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 "MALE",orders[[#This Row],[Customer Gender]]="", "FEMALE",orders[[#This Row],[Customer Gender]]="O", "OTHERS",TRUE,"UNKNOWN")</f>
        <v>FEMALE</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 "MALE",orders[[#This Row],[Customer Gender]]="", "FEMALE",orders[[#This Row],[Customer Gender]]="O", "OTHERS",TRUE,"UNKNOWN")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 "MALE",orders[[#This Row],[Customer Gender]]="", "FEMALE",orders[[#This Row],[Customer Gender]]="O", "OTHERS",TRUE,"UNKNOWN")</f>
        <v>UNKNOWN</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 "MALE",orders[[#This Row],[Customer Gender]]="", "FEMALE",orders[[#This Row],[Customer Gender]]="O", "OTHERS",TRUE,"UNKNOWN")</f>
        <v>UNKNOWN</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 "MALE",orders[[#This Row],[Customer Gender]]="", "FEMALE",orders[[#This Row],[Customer Gender]]="O", "OTHERS",TRUE,"UNKNOWN")</f>
        <v>UNKNOWN</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 "MALE",orders[[#This Row],[Customer Gender]]="", "FEMALE",orders[[#This Row],[Customer Gender]]="O", "OTHERS",TRUE,"UNKNOWN")</f>
        <v>UNKNOWN</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 "MALE",orders[[#This Row],[Customer Gender]]="", "FEMALE",orders[[#This Row],[Customer Gender]]="O", "OTHERS",TRUE,"UNKNOWN")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 "MALE",orders[[#This Row],[Customer Gender]]="", "FEMALE",orders[[#This Row],[Customer Gender]]="O", "OTHERS",TRUE,"UNKNOWN")</f>
        <v>UNKNOWN</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 "MALE",orders[[#This Row],[Customer Gender]]="", "FEMALE",orders[[#This Row],[Customer Gender]]="O", "OTHERS",TRUE,"UNKNOWN")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 "MALE",orders[[#This Row],[Customer Gender]]="", "FEMALE",orders[[#This Row],[Customer Gender]]="O", "OTHERS",TRUE,"UNKNOWN")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 "MALE",orders[[#This Row],[Customer Gender]]="", "FEMALE",orders[[#This Row],[Customer Gender]]="O", "OTHERS",TRUE,"UNKNOWN")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 "MALE",orders[[#This Row],[Customer Gender]]="", "FEMALE",orders[[#This Row],[Customer Gender]]="O", "OTHERS",TRUE,"UNKNOWN")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 "MALE",orders[[#This Row],[Customer Gender]]="", "FEMALE",orders[[#This Row],[Customer Gender]]="O", "OTHERS",TRUE,"UNKNOWN")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 "MALE",orders[[#This Row],[Customer Gender]]="", "FEMALE",orders[[#This Row],[Customer Gender]]="O", "OTHERS",TRUE,"UNKNOWN")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 "MALE",orders[[#This Row],[Customer Gender]]="", "FEMALE",orders[[#This Row],[Customer Gender]]="O", "OTHERS",TRUE,"UNKNOWN")</f>
        <v>UNKNOWN</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 "MALE",orders[[#This Row],[Customer Gender]]="", "FEMALE",orders[[#This Row],[Customer Gender]]="O", "OTHERS",TRUE,"UNKNOWN")</f>
        <v>UNKNOWN</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 "MALE",orders[[#This Row],[Customer Gender]]="", "FEMALE",orders[[#This Row],[Customer Gender]]="O", "OTHERS",TRUE,"UNKNOWN")</f>
        <v>UNKNOWN</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 "MALE",orders[[#This Row],[Customer Gender]]="", "FEMALE",orders[[#This Row],[Customer Gender]]="O", "OTHERS",TRUE,"UNKNOWN")</f>
        <v>UNKNOWN</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 "MALE",orders[[#This Row],[Customer Gender]]="", "FEMALE",orders[[#This Row],[Customer Gender]]="O", "OTHERS",TRUE,"UNKNOWN")</f>
        <v>UNKNOWN</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 "MALE",orders[[#This Row],[Customer Gender]]="", "FEMALE",orders[[#This Row],[Customer Gender]]="O", "OTHERS",TRUE,"UNKNOWN")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 "MALE",orders[[#This Row],[Customer Gender]]="", "FEMALE",orders[[#This Row],[Customer Gender]]="O", "OTHERS",TRUE,"UNKNOWN")</f>
        <v>UNKNOWN</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 "MALE",orders[[#This Row],[Customer Gender]]="", "FEMALE",orders[[#This Row],[Customer Gender]]="O", "OTHERS",TRUE,"UNKNOWN")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 "MALE",orders[[#This Row],[Customer Gender]]="", "FEMALE",orders[[#This Row],[Customer Gender]]="O", "OTHERS",TRUE,"UNKNOWN")</f>
        <v>UNKNOWN</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 "MALE",orders[[#This Row],[Customer Gender]]="", "FEMALE",orders[[#This Row],[Customer Gender]]="O", "OTHERS",TRUE,"UNKNOWN")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 "MALE",orders[[#This Row],[Customer Gender]]="", "FEMALE",orders[[#This Row],[Customer Gender]]="O", "OTHERS",TRUE,"UNKNOWN")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 "MALE",orders[[#This Row],[Customer Gender]]="", "FEMALE",orders[[#This Row],[Customer Gender]]="O", "OTHERS",TRUE,"UNKNOWN")</f>
        <v>UNKNOWN</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 "MALE",orders[[#This Row],[Customer Gender]]="", "FEMALE",orders[[#This Row],[Customer Gender]]="O", "OTHERS",TRUE,"UNKNOWN")</f>
        <v>FEMALE</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 "MALE",orders[[#This Row],[Customer Gender]]="", "FEMALE",orders[[#This Row],[Customer Gender]]="O", "OTHERS",TRUE,"UNKNOWN")</f>
        <v>FEMALE</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 "MALE",orders[[#This Row],[Customer Gender]]="", "FEMALE",orders[[#This Row],[Customer Gender]]="O", "OTHERS",TRUE,"UNKNOWN")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 "MALE",orders[[#This Row],[Customer Gender]]="", "FEMALE",orders[[#This Row],[Customer Gender]]="O", "OTHERS",TRUE,"UNKNOWN")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 "MALE",orders[[#This Row],[Customer Gender]]="", "FEMALE",orders[[#This Row],[Customer Gender]]="O", "OTHERS",TRUE,"UNKNOWN")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 "MALE",orders[[#This Row],[Customer Gender]]="", "FEMALE",orders[[#This Row],[Customer Gender]]="O", "OTHERS",TRUE,"UNKNOWN")</f>
        <v>FEMALE</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 "MALE",orders[[#This Row],[Customer Gender]]="", "FEMALE",orders[[#This Row],[Customer Gender]]="O", "OTHERS",TRUE,"UNKNOWN")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 "MALE",orders[[#This Row],[Customer Gender]]="", "FEMALE",orders[[#This Row],[Customer Gender]]="O", "OTHERS",TRUE,"UNKNOWN")</f>
        <v>FEMALE</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 "MALE",orders[[#This Row],[Customer Gender]]="", "FEMALE",orders[[#This Row],[Customer Gender]]="O", "OTHERS",TRUE,"UNKNOWN")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 "MALE",orders[[#This Row],[Customer Gender]]="", "FEMALE",orders[[#This Row],[Customer Gender]]="O", "OTHERS",TRUE,"UNKNOWN")</f>
        <v>FEMALE</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 "MALE",orders[[#This Row],[Customer Gender]]="", "FEMALE",orders[[#This Row],[Customer Gender]]="O", "OTHERS",TRUE,"UNKNOWN")</f>
        <v>UNKNOWN</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 "MALE",orders[[#This Row],[Customer Gender]]="", "FEMALE",orders[[#This Row],[Customer Gender]]="O", "OTHERS",TRUE,"UNKNOWN")</f>
        <v>UNKNOWN</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 "MALE",orders[[#This Row],[Customer Gender]]="", "FEMALE",orders[[#This Row],[Customer Gender]]="O", "OTHERS",TRUE,"UNKNOWN")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 "MALE",orders[[#This Row],[Customer Gender]]="", "FEMALE",orders[[#This Row],[Customer Gender]]="O", "OTHERS",TRUE,"UNKNOWN")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 "MALE",orders[[#This Row],[Customer Gender]]="", "FEMALE",orders[[#This Row],[Customer Gender]]="O", "OTHERS",TRUE,"UNKNOWN")</f>
        <v>UNKNOWN</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 "MALE",orders[[#This Row],[Customer Gender]]="", "FEMALE",orders[[#This Row],[Customer Gender]]="O", "OTHERS",TRUE,"UNKNOWN")</f>
        <v>UNKNOWN</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 "MALE",orders[[#This Row],[Customer Gender]]="", "FEMALE",orders[[#This Row],[Customer Gender]]="O", "OTHERS",TRUE,"UNKNOWN")</f>
        <v>UNKNOWN</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 "MALE",orders[[#This Row],[Customer Gender]]="", "FEMALE",orders[[#This Row],[Customer Gender]]="O", "OTHERS",TRUE,"UNKNOWN")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 "MALE",orders[[#This Row],[Customer Gender]]="", "FEMALE",orders[[#This Row],[Customer Gender]]="O", "OTHERS",TRUE,"UNKNOWN")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 "MALE",orders[[#This Row],[Customer Gender]]="", "FEMALE",orders[[#This Row],[Customer Gender]]="O", "OTHERS",TRUE,"UNKNOWN")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 "MALE",orders[[#This Row],[Customer Gender]]="", "FEMALE",orders[[#This Row],[Customer Gender]]="O", "OTHERS",TRUE,"UNKNOWN")</f>
        <v>UNKNOWN</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 "MALE",orders[[#This Row],[Customer Gender]]="", "FEMALE",orders[[#This Row],[Customer Gender]]="O", "OTHERS",TRUE,"UNKNOWN")</f>
        <v>UNKNOWN</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 "MALE",orders[[#This Row],[Customer Gender]]="", "FEMALE",orders[[#This Row],[Customer Gender]]="O", "OTHERS",TRUE,"UNKNOWN")</f>
        <v>UNKNOWN</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 "MALE",orders[[#This Row],[Customer Gender]]="", "FEMALE",orders[[#This Row],[Customer Gender]]="O", "OTHERS",TRUE,"UNKNOWN")</f>
        <v>UNKNOWN</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 "MALE",orders[[#This Row],[Customer Gender]]="", "FEMALE",orders[[#This Row],[Customer Gender]]="O", "OTHERS",TRUE,"UNKNOWN")</f>
        <v>UNKNOWN</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 "MALE",orders[[#This Row],[Customer Gender]]="", "FEMALE",orders[[#This Row],[Customer Gender]]="O", "OTHERS",TRUE,"UNKNOWN")</f>
        <v>UNKNOWN</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 "MALE",orders[[#This Row],[Customer Gender]]="", "FEMALE",orders[[#This Row],[Customer Gender]]="O", "OTHERS",TRUE,"UNKNOWN")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 "MALE",orders[[#This Row],[Customer Gender]]="", "FEMALE",orders[[#This Row],[Customer Gender]]="O", "OTHERS",TRUE,"UNKNOWN")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 "MALE",orders[[#This Row],[Customer Gender]]="", "FEMALE",orders[[#This Row],[Customer Gender]]="O", "OTHERS",TRUE,"UNKNOWN")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 "MALE",orders[[#This Row],[Customer Gender]]="", "FEMALE",orders[[#This Row],[Customer Gender]]="O", "OTHERS",TRUE,"UNKNOWN")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 "MALE",orders[[#This Row],[Customer Gender]]="", "FEMALE",orders[[#This Row],[Customer Gender]]="O", "OTHERS",TRUE,"UNKNOWN")</f>
        <v>UNKNOWN</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 "MALE",orders[[#This Row],[Customer Gender]]="", "FEMALE",orders[[#This Row],[Customer Gender]]="O", "OTHERS",TRUE,"UNKNOWN")</f>
        <v>UNKNOWN</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 "MALE",orders[[#This Row],[Customer Gender]]="", "FEMALE",orders[[#This Row],[Customer Gender]]="O", "OTHERS",TRUE,"UNKNOWN")</f>
        <v>FEMALE</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 "MALE",orders[[#This Row],[Customer Gender]]="", "FEMALE",orders[[#This Row],[Customer Gender]]="O", "OTHERS",TRUE,"UNKNOWN")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 "MALE",orders[[#This Row],[Customer Gender]]="", "FEMALE",orders[[#This Row],[Customer Gender]]="O", "OTHERS",TRUE,"UNKNOWN")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 "MALE",orders[[#This Row],[Customer Gender]]="", "FEMALE",orders[[#This Row],[Customer Gender]]="O", "OTHERS",TRUE,"UNKNOWN")</f>
        <v>OTHERS</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 "MALE",orders[[#This Row],[Customer Gender]]="", "FEMALE",orders[[#This Row],[Customer Gender]]="O", "OTHERS",TRUE,"UNKNOWN")</f>
        <v>UNKNOWN</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 "MALE",orders[[#This Row],[Customer Gender]]="", "FEMALE",orders[[#This Row],[Customer Gender]]="O", "OTHERS",TRUE,"UNKNOWN")</f>
        <v>UNKNOWN</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 "MALE",orders[[#This Row],[Customer Gender]]="", "FEMALE",orders[[#This Row],[Customer Gender]]="O", "OTHERS",TRUE,"UNKNOWN")</f>
        <v>OTHERS</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 "MALE",orders[[#This Row],[Customer Gender]]="", "FEMALE",orders[[#This Row],[Customer Gender]]="O", "OTHERS",TRUE,"UNKNOWN")</f>
        <v>UNKNOWN</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 "MALE",orders[[#This Row],[Customer Gender]]="", "FEMALE",orders[[#This Row],[Customer Gender]]="O", "OTHERS",TRUE,"UNKNOWN")</f>
        <v>UNKNOWN</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 "MALE",orders[[#This Row],[Customer Gender]]="", "FEMALE",orders[[#This Row],[Customer Gender]]="O", "OTHERS",TRUE,"UNKNOWN")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 "MALE",orders[[#This Row],[Customer Gender]]="", "FEMALE",orders[[#This Row],[Customer Gender]]="O", "OTHERS",TRUE,"UNKNOWN")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 "MALE",orders[[#This Row],[Customer Gender]]="", "FEMALE",orders[[#This Row],[Customer Gender]]="O", "OTHERS",TRUE,"UNKNOWN")</f>
        <v>UNKNOWN</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 "MALE",orders[[#This Row],[Customer Gender]]="", "FEMALE",orders[[#This Row],[Customer Gender]]="O", "OTHERS",TRUE,"UNKNOWN")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 "MALE",orders[[#This Row],[Customer Gender]]="", "FEMALE",orders[[#This Row],[Customer Gender]]="O", "OTHERS",TRUE,"UNKNOWN")</f>
        <v>UNKNOWN</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 "MALE",orders[[#This Row],[Customer Gender]]="", "FEMALE",orders[[#This Row],[Customer Gender]]="O", "OTHERS",TRUE,"UNKNOWN")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 "MALE",orders[[#This Row],[Customer Gender]]="", "FEMALE",orders[[#This Row],[Customer Gender]]="O", "OTHERS",TRUE,"UNKNOWN")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 "MALE",orders[[#This Row],[Customer Gender]]="", "FEMALE",orders[[#This Row],[Customer Gender]]="O", "OTHERS",TRUE,"UNKNOWN")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 "MALE",orders[[#This Row],[Customer Gender]]="", "FEMALE",orders[[#This Row],[Customer Gender]]="O", "OTHERS",TRUE,"UNKNOWN")</f>
        <v>UNKNOWN</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 "MALE",orders[[#This Row],[Customer Gender]]="", "FEMALE",orders[[#This Row],[Customer Gender]]="O", "OTHERS",TRUE,"UNKNOWN")</f>
        <v>UNKNOWN</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 "MALE",orders[[#This Row],[Customer Gender]]="", "FEMALE",orders[[#This Row],[Customer Gender]]="O", "OTHERS",TRUE,"UNKNOWN")</f>
        <v>UNKNOWN</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 "MALE",orders[[#This Row],[Customer Gender]]="", "FEMALE",orders[[#This Row],[Customer Gender]]="O", "OTHERS",TRUE,"UNKNOWN")</f>
        <v>UNKNOWN</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 "MALE",orders[[#This Row],[Customer Gender]]="", "FEMALE",orders[[#This Row],[Customer Gender]]="O", "OTHERS",TRUE,"UNKNOWN")</f>
        <v>UNKNOWN</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 "MALE",orders[[#This Row],[Customer Gender]]="", "FEMALE",orders[[#This Row],[Customer Gender]]="O", "OTHERS",TRUE,"UNKNOWN")</f>
        <v>UNKNOWN</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 "MALE",orders[[#This Row],[Customer Gender]]="", "FEMALE",orders[[#This Row],[Customer Gender]]="O", "OTHERS",TRUE,"UNKNOWN")</f>
        <v>UNKNOWN</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 "MALE",orders[[#This Row],[Customer Gender]]="", "FEMALE",orders[[#This Row],[Customer Gender]]="O", "OTHERS",TRUE,"UNKNOWN")</f>
        <v>UNKNOWN</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 "MALE",orders[[#This Row],[Customer Gender]]="", "FEMALE",orders[[#This Row],[Customer Gender]]="O", "OTHERS",TRUE,"UNKNOWN")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 "MALE",orders[[#This Row],[Customer Gender]]="", "FEMALE",orders[[#This Row],[Customer Gender]]="O", "OTHERS",TRUE,"UNKNOWN")</f>
        <v>UNKNOWN</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 "MALE",orders[[#This Row],[Customer Gender]]="", "FEMALE",orders[[#This Row],[Customer Gender]]="O", "OTHERS",TRUE,"UNKNOWN")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 "MALE",orders[[#This Row],[Customer Gender]]="", "FEMALE",orders[[#This Row],[Customer Gender]]="O", "OTHERS",TRUE,"UNKNOWN")</f>
        <v>UNKNOWN</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 "MALE",orders[[#This Row],[Customer Gender]]="", "FEMALE",orders[[#This Row],[Customer Gender]]="O", "OTHERS",TRUE,"UNKNOWN")</f>
        <v>FEMALE</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 "MALE",orders[[#This Row],[Customer Gender]]="", "FEMALE",orders[[#This Row],[Customer Gender]]="O", "OTHERS",TRUE,"UNKNOWN")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 "MALE",orders[[#This Row],[Customer Gender]]="", "FEMALE",orders[[#This Row],[Customer Gender]]="O", "OTHERS",TRUE,"UNKNOWN")</f>
        <v>UNKNOWN</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 "MALE",orders[[#This Row],[Customer Gender]]="", "FEMALE",orders[[#This Row],[Customer Gender]]="O", "OTHERS",TRUE,"UNKNOWN")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 "MALE",orders[[#This Row],[Customer Gender]]="", "FEMALE",orders[[#This Row],[Customer Gender]]="O", "OTHERS",TRUE,"UNKNOWN")</f>
        <v>OTHERS</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 "MALE",orders[[#This Row],[Customer Gender]]="", "FEMALE",orders[[#This Row],[Customer Gender]]="O", "OTHERS",TRUE,"UNKNOWN")</f>
        <v>UNKNOWN</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 "MALE",orders[[#This Row],[Customer Gender]]="", "FEMALE",orders[[#This Row],[Customer Gender]]="O", "OTHERS",TRUE,"UNKNOWN")</f>
        <v>UNKNOWN</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 "MALE",orders[[#This Row],[Customer Gender]]="", "FEMALE",orders[[#This Row],[Customer Gender]]="O", "OTHERS",TRUE,"UNKNOWN")</f>
        <v>UNKNOWN</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 "MALE",orders[[#This Row],[Customer Gender]]="", "FEMALE",orders[[#This Row],[Customer Gender]]="O", "OTHERS",TRUE,"UNKNOWN")</f>
        <v>UNKNOWN</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 "MALE",orders[[#This Row],[Customer Gender]]="", "FEMALE",orders[[#This Row],[Customer Gender]]="O", "OTHERS",TRUE,"UNKNOWN")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 "MALE",orders[[#This Row],[Customer Gender]]="", "FEMALE",orders[[#This Row],[Customer Gender]]="O", "OTHERS",TRUE,"UNKNOWN")</f>
        <v>UNKNOWN</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 "MALE",orders[[#This Row],[Customer Gender]]="", "FEMALE",orders[[#This Row],[Customer Gender]]="O", "OTHERS",TRUE,"UNKNOWN")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 "MALE",orders[[#This Row],[Customer Gender]]="", "FEMALE",orders[[#This Row],[Customer Gender]]="O", "OTHERS",TRUE,"UNKNOWN")</f>
        <v>FEMALE</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 "MALE",orders[[#This Row],[Customer Gender]]="", "FEMALE",orders[[#This Row],[Customer Gender]]="O", "OTHERS",TRUE,"UNKNOWN")</f>
        <v>UNKNOWN</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 "MALE",orders[[#This Row],[Customer Gender]]="", "FEMALE",orders[[#This Row],[Customer Gender]]="O", "OTHERS",TRUE,"UNKNOWN")</f>
        <v>UNKNOWN</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 "MALE",orders[[#This Row],[Customer Gender]]="", "FEMALE",orders[[#This Row],[Customer Gender]]="O", "OTHERS",TRUE,"UNKNOWN")</f>
        <v>UNKNOWN</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 "MALE",orders[[#This Row],[Customer Gender]]="", "FEMALE",orders[[#This Row],[Customer Gender]]="O", "OTHERS",TRUE,"UNKNOWN")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 "MALE",orders[[#This Row],[Customer Gender]]="", "FEMALE",orders[[#This Row],[Customer Gender]]="O", "OTHERS",TRUE,"UNKNOWN")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 "MALE",orders[[#This Row],[Customer Gender]]="", "FEMALE",orders[[#This Row],[Customer Gender]]="O", "OTHERS",TRUE,"UNKNOWN")</f>
        <v>UNKNOWN</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 "MALE",orders[[#This Row],[Customer Gender]]="", "FEMALE",orders[[#This Row],[Customer Gender]]="O", "OTHERS",TRUE,"UNKNOWN")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 "MALE",orders[[#This Row],[Customer Gender]]="", "FEMALE",orders[[#This Row],[Customer Gender]]="O", "OTHERS",TRUE,"UNKNOWN")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 "MALE",orders[[#This Row],[Customer Gender]]="", "FEMALE",orders[[#This Row],[Customer Gender]]="O", "OTHERS",TRUE,"UNKNOWN")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 "MALE",orders[[#This Row],[Customer Gender]]="", "FEMALE",orders[[#This Row],[Customer Gender]]="O", "OTHERS",TRUE,"UNKNOWN")</f>
        <v>UNKNOWN</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 "MALE",orders[[#This Row],[Customer Gender]]="", "FEMALE",orders[[#This Row],[Customer Gender]]="O", "OTHERS",TRUE,"UNKNOWN")</f>
        <v>UNKNOWN</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 "MALE",orders[[#This Row],[Customer Gender]]="", "FEMALE",orders[[#This Row],[Customer Gender]]="O", "OTHERS",TRUE,"UNKNOWN")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 "MALE",orders[[#This Row],[Customer Gender]]="", "FEMALE",orders[[#This Row],[Customer Gender]]="O", "OTHERS",TRUE,"UNKNOWN")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 "MALE",orders[[#This Row],[Customer Gender]]="", "FEMALE",orders[[#This Row],[Customer Gender]]="O", "OTHERS",TRUE,"UNKNOWN")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 "MALE",orders[[#This Row],[Customer Gender]]="", "FEMALE",orders[[#This Row],[Customer Gender]]="O", "OTHERS",TRUE,"UNKNOWN")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 "MALE",orders[[#This Row],[Customer Gender]]="", "FEMALE",orders[[#This Row],[Customer Gender]]="O", "OTHERS",TRUE,"UNKNOWN")</f>
        <v>UNKNOWN</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 "MALE",orders[[#This Row],[Customer Gender]]="", "FEMALE",orders[[#This Row],[Customer Gender]]="O", "OTHERS",TRUE,"UNKNOWN")</f>
        <v>UNKNOWN</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 "MALE",orders[[#This Row],[Customer Gender]]="", "FEMALE",orders[[#This Row],[Customer Gender]]="O", "OTHERS",TRUE,"UNKNOWN")</f>
        <v>UNKNOWN</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 "MALE",orders[[#This Row],[Customer Gender]]="", "FEMALE",orders[[#This Row],[Customer Gender]]="O", "OTHERS",TRUE,"UNKNOWN")</f>
        <v>UNKNOWN</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 "MALE",orders[[#This Row],[Customer Gender]]="", "FEMALE",orders[[#This Row],[Customer Gender]]="O", "OTHERS",TRUE,"UNKNOWN")</f>
        <v>UNKNOWN</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 "MALE",orders[[#This Row],[Customer Gender]]="", "FEMALE",orders[[#This Row],[Customer Gender]]="O", "OTHERS",TRUE,"UNKNOWN")</f>
        <v>OTHERS</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 "MALE",orders[[#This Row],[Customer Gender]]="", "FEMALE",orders[[#This Row],[Customer Gender]]="O", "OTHERS",TRUE,"UNKNOWN")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 "MALE",orders[[#This Row],[Customer Gender]]="", "FEMALE",orders[[#This Row],[Customer Gender]]="O", "OTHERS",TRUE,"UNKNOWN")</f>
        <v>UNKNOWN</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 "MALE",orders[[#This Row],[Customer Gender]]="", "FEMALE",orders[[#This Row],[Customer Gender]]="O", "OTHERS",TRUE,"UNKNOWN")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 "MALE",orders[[#This Row],[Customer Gender]]="", "FEMALE",orders[[#This Row],[Customer Gender]]="O", "OTHERS",TRUE,"UNKNOWN")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 "MALE",orders[[#This Row],[Customer Gender]]="", "FEMALE",orders[[#This Row],[Customer Gender]]="O", "OTHERS",TRUE,"UNKNOWN")</f>
        <v>UNKNOWN</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 "MALE",orders[[#This Row],[Customer Gender]]="", "FEMALE",orders[[#This Row],[Customer Gender]]="O", "OTHERS",TRUE,"UNKNOWN")</f>
        <v>OTHERS</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 "MALE",orders[[#This Row],[Customer Gender]]="", "FEMALE",orders[[#This Row],[Customer Gender]]="O", "OTHERS",TRUE,"UNKNOWN")</f>
        <v>OTHERS</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 "MALE",orders[[#This Row],[Customer Gender]]="", "FEMALE",orders[[#This Row],[Customer Gender]]="O", "OTHERS",TRUE,"UNKNOWN")</f>
        <v>UNKNOWN</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 "MALE",orders[[#This Row],[Customer Gender]]="", "FEMALE",orders[[#This Row],[Customer Gender]]="O", "OTHERS",TRUE,"UNKNOWN")</f>
        <v>UNKNOWN</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 "MALE",orders[[#This Row],[Customer Gender]]="", "FEMALE",orders[[#This Row],[Customer Gender]]="O", "OTHERS",TRUE,"UNKNOWN")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 "MALE",orders[[#This Row],[Customer Gender]]="", "FEMALE",orders[[#This Row],[Customer Gender]]="O", "OTHERS",TRUE,"UNKNOWN")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 "MALE",orders[[#This Row],[Customer Gender]]="", "FEMALE",orders[[#This Row],[Customer Gender]]="O", "OTHERS",TRUE,"UNKNOWN")</f>
        <v>UNKNOWN</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 "MALE",orders[[#This Row],[Customer Gender]]="", "FEMALE",orders[[#This Row],[Customer Gender]]="O", "OTHERS",TRUE,"UNKNOWN")</f>
        <v>UNKNOWN</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 "MALE",orders[[#This Row],[Customer Gender]]="", "FEMALE",orders[[#This Row],[Customer Gender]]="O", "OTHERS",TRUE,"UNKNOWN")</f>
        <v>UNKNOWN</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 "MALE",orders[[#This Row],[Customer Gender]]="", "FEMALE",orders[[#This Row],[Customer Gender]]="O", "OTHERS",TRUE,"UNKNOWN")</f>
        <v>UNKNOWN</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 "MALE",orders[[#This Row],[Customer Gender]]="", "FEMALE",orders[[#This Row],[Customer Gender]]="O", "OTHERS",TRUE,"UNKNOWN")</f>
        <v>FEMALE</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 "MALE",orders[[#This Row],[Customer Gender]]="", "FEMALE",orders[[#This Row],[Customer Gender]]="O", "OTHERS",TRUE,"UNKNOWN")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 "MALE",orders[[#This Row],[Customer Gender]]="", "FEMALE",orders[[#This Row],[Customer Gender]]="O", "OTHERS",TRUE,"UNKNOWN")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 "MALE",orders[[#This Row],[Customer Gender]]="", "FEMALE",orders[[#This Row],[Customer Gender]]="O", "OTHERS",TRUE,"UNKNOWN")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 "MALE",orders[[#This Row],[Customer Gender]]="", "FEMALE",orders[[#This Row],[Customer Gender]]="O", "OTHERS",TRUE,"UNKNOWN")</f>
        <v>OTHERS</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 "MALE",orders[[#This Row],[Customer Gender]]="", "FEMALE",orders[[#This Row],[Customer Gender]]="O", "OTHERS",TRUE,"UNKNOWN")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 "MALE",orders[[#This Row],[Customer Gender]]="", "FEMALE",orders[[#This Row],[Customer Gender]]="O", "OTHERS",TRUE,"UNKNOWN")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 "MALE",orders[[#This Row],[Customer Gender]]="", "FEMALE",orders[[#This Row],[Customer Gender]]="O", "OTHERS",TRUE,"UNKNOWN")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 "MALE",orders[[#This Row],[Customer Gender]]="", "FEMALE",orders[[#This Row],[Customer Gender]]="O", "OTHERS",TRUE,"UNKNOWN")</f>
        <v>UNKNOWN</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 "MALE",orders[[#This Row],[Customer Gender]]="", "FEMALE",orders[[#This Row],[Customer Gender]]="O", "OTHERS",TRUE,"UNKNOWN")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 "MALE",orders[[#This Row],[Customer Gender]]="", "FEMALE",orders[[#This Row],[Customer Gender]]="O", "OTHERS",TRUE,"UNKNOWN")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 "MALE",orders[[#This Row],[Customer Gender]]="", "FEMALE",orders[[#This Row],[Customer Gender]]="O", "OTHERS",TRUE,"UNKNOWN")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 "MALE",orders[[#This Row],[Customer Gender]]="", "FEMALE",orders[[#This Row],[Customer Gender]]="O", "OTHERS",TRUE,"UNKNOWN")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 "MALE",orders[[#This Row],[Customer Gender]]="", "FEMALE",orders[[#This Row],[Customer Gender]]="O", "OTHERS",TRUE,"UNKNOWN")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 "MALE",orders[[#This Row],[Customer Gender]]="", "FEMALE",orders[[#This Row],[Customer Gender]]="O", "OTHERS",TRUE,"UNKNOWN")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 "MALE",orders[[#This Row],[Customer Gender]]="", "FEMALE",orders[[#This Row],[Customer Gender]]="O", "OTHERS",TRUE,"UNKNOWN")</f>
        <v>UNKNOWN</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 "MALE",orders[[#This Row],[Customer Gender]]="", "FEMALE",orders[[#This Row],[Customer Gender]]="O", "OTHERS",TRUE,"UNKNOWN")</f>
        <v>UNKNOWN</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 "MALE",orders[[#This Row],[Customer Gender]]="", "FEMALE",orders[[#This Row],[Customer Gender]]="O", "OTHERS",TRUE,"UNKNOWN")</f>
        <v>UNKNOWN</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 "MALE",orders[[#This Row],[Customer Gender]]="", "FEMALE",orders[[#This Row],[Customer Gender]]="O", "OTHERS",TRUE,"UNKNOWN")</f>
        <v>UNKNOWN</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 "MALE",orders[[#This Row],[Customer Gender]]="", "FEMALE",orders[[#This Row],[Customer Gender]]="O", "OTHERS",TRUE,"UNKNOWN")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 "MALE",orders[[#This Row],[Customer Gender]]="", "FEMALE",orders[[#This Row],[Customer Gender]]="O", "OTHERS",TRUE,"UNKNOWN")</f>
        <v>UNKNOWN</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 "MALE",orders[[#This Row],[Customer Gender]]="", "FEMALE",orders[[#This Row],[Customer Gender]]="O", "OTHERS",TRUE,"UNKNOWN")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 "MALE",orders[[#This Row],[Customer Gender]]="", "FEMALE",orders[[#This Row],[Customer Gender]]="O", "OTHERS",TRUE,"UNKNOWN")</f>
        <v>UNKNOWN</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 "MALE",orders[[#This Row],[Customer Gender]]="", "FEMALE",orders[[#This Row],[Customer Gender]]="O", "OTHERS",TRUE,"UNKNOWN")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 "MALE",orders[[#This Row],[Customer Gender]]="", "FEMALE",orders[[#This Row],[Customer Gender]]="O", "OTHERS",TRUE,"UNKNOWN")</f>
        <v>UNKNOWN</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 "MALE",orders[[#This Row],[Customer Gender]]="", "FEMALE",orders[[#This Row],[Customer Gender]]="O", "OTHERS",TRUE,"UNKNOWN")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 "MALE",orders[[#This Row],[Customer Gender]]="", "FEMALE",orders[[#This Row],[Customer Gender]]="O", "OTHERS",TRUE,"UNKNOWN")</f>
        <v>UNKNOWN</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 "MALE",orders[[#This Row],[Customer Gender]]="", "FEMALE",orders[[#This Row],[Customer Gender]]="O", "OTHERS",TRUE,"UNKNOWN")</f>
        <v>UNKNOWN</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 "MALE",orders[[#This Row],[Customer Gender]]="", "FEMALE",orders[[#This Row],[Customer Gender]]="O", "OTHERS",TRUE,"UNKNOWN")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 "MALE",orders[[#This Row],[Customer Gender]]="", "FEMALE",orders[[#This Row],[Customer Gender]]="O", "OTHERS",TRUE,"UNKNOWN")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 "MALE",orders[[#This Row],[Customer Gender]]="", "FEMALE",orders[[#This Row],[Customer Gender]]="O", "OTHERS",TRUE,"UNKNOWN")</f>
        <v>UNKNOWN</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 "MALE",orders[[#This Row],[Customer Gender]]="", "FEMALE",orders[[#This Row],[Customer Gender]]="O", "OTHERS",TRUE,"UNKNOWN")</f>
        <v>UNKNOWN</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 "MALE",orders[[#This Row],[Customer Gender]]="", "FEMALE",orders[[#This Row],[Customer Gender]]="O", "OTHERS",TRUE,"UNKNOWN")</f>
        <v>UNKNOWN</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 "MALE",orders[[#This Row],[Customer Gender]]="", "FEMALE",orders[[#This Row],[Customer Gender]]="O", "OTHERS",TRUE,"UNKNOWN")</f>
        <v>UNKNOWN</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 "MALE",orders[[#This Row],[Customer Gender]]="", "FEMALE",orders[[#This Row],[Customer Gender]]="O", "OTHERS",TRUE,"UNKNOWN")</f>
        <v>UNKNOWN</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 "MALE",orders[[#This Row],[Customer Gender]]="", "FEMALE",orders[[#This Row],[Customer Gender]]="O", "OTHERS",TRUE,"UNKNOWN")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 "MALE",orders[[#This Row],[Customer Gender]]="", "FEMALE",orders[[#This Row],[Customer Gender]]="O", "OTHERS",TRUE,"UNKNOWN")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 "MALE",orders[[#This Row],[Customer Gender]]="", "FEMALE",orders[[#This Row],[Customer Gender]]="O", "OTHERS",TRUE,"UNKNOWN")</f>
        <v>UNKNOWN</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 "MALE",orders[[#This Row],[Customer Gender]]="", "FEMALE",orders[[#This Row],[Customer Gender]]="O", "OTHERS",TRUE,"UNKNOWN")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 "MALE",orders[[#This Row],[Customer Gender]]="", "FEMALE",orders[[#This Row],[Customer Gender]]="O", "OTHERS",TRUE,"UNKNOWN")</f>
        <v>UNKNOWN</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 "MALE",orders[[#This Row],[Customer Gender]]="", "FEMALE",orders[[#This Row],[Customer Gender]]="O", "OTHERS",TRUE,"UNKNOWN")</f>
        <v>UNKNOWN</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 "MALE",orders[[#This Row],[Customer Gender]]="", "FEMALE",orders[[#This Row],[Customer Gender]]="O", "OTHERS",TRUE,"UNKNOWN")</f>
        <v>UNKNOWN</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 "MALE",orders[[#This Row],[Customer Gender]]="", "FEMALE",orders[[#This Row],[Customer Gender]]="O", "OTHERS",TRUE,"UNKNOWN")</f>
        <v>UNKNOWN</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 "MALE",orders[[#This Row],[Customer Gender]]="", "FEMALE",orders[[#This Row],[Customer Gender]]="O", "OTHERS",TRUE,"UNKNOWN")</f>
        <v>UNKNOWN</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 "MALE",orders[[#This Row],[Customer Gender]]="", "FEMALE",orders[[#This Row],[Customer Gender]]="O", "OTHERS",TRUE,"UNKNOWN")</f>
        <v>OTHERS</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 "MALE",orders[[#This Row],[Customer Gender]]="", "FEMALE",orders[[#This Row],[Customer Gender]]="O", "OTHERS",TRUE,"UNKNOWN")</f>
        <v>UNKNOWN</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 "MALE",orders[[#This Row],[Customer Gender]]="", "FEMALE",orders[[#This Row],[Customer Gender]]="O", "OTHERS",TRUE,"UNKNOWN")</f>
        <v>UNKNOWN</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 "MALE",orders[[#This Row],[Customer Gender]]="", "FEMALE",orders[[#This Row],[Customer Gender]]="O", "OTHERS",TRUE,"UNKNOWN")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 "MALE",orders[[#This Row],[Customer Gender]]="", "FEMALE",orders[[#This Row],[Customer Gender]]="O", "OTHERS",TRUE,"UNKNOWN")</f>
        <v>UNKNOWN</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 "MALE",orders[[#This Row],[Customer Gender]]="", "FEMALE",orders[[#This Row],[Customer Gender]]="O", "OTHERS",TRUE,"UNKNOWN")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 "MALE",orders[[#This Row],[Customer Gender]]="", "FEMALE",orders[[#This Row],[Customer Gender]]="O", "OTHERS",TRUE,"UNKNOWN")</f>
        <v>UNKNOWN</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 "MALE",orders[[#This Row],[Customer Gender]]="", "FEMALE",orders[[#This Row],[Customer Gender]]="O", "OTHERS",TRUE,"UNKNOWN")</f>
        <v>UNKNOWN</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 "MALE",orders[[#This Row],[Customer Gender]]="", "FEMALE",orders[[#This Row],[Customer Gender]]="O", "OTHERS",TRUE,"UNKNOWN")</f>
        <v>FEMALE</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 "MALE",orders[[#This Row],[Customer Gender]]="", "FEMALE",orders[[#This Row],[Customer Gender]]="O", "OTHERS",TRUE,"UNKNOWN")</f>
        <v>UNKNOWN</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 "MALE",orders[[#This Row],[Customer Gender]]="", "FEMALE",orders[[#This Row],[Customer Gender]]="O", "OTHERS",TRUE,"UNKNOWN")</f>
        <v>UNKNOWN</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 "MALE",orders[[#This Row],[Customer Gender]]="", "FEMALE",orders[[#This Row],[Customer Gender]]="O", "OTHERS",TRUE,"UNKNOWN")</f>
        <v>UNKNOWN</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 "MALE",orders[[#This Row],[Customer Gender]]="", "FEMALE",orders[[#This Row],[Customer Gender]]="O", "OTHERS",TRUE,"UNKNOWN")</f>
        <v>UNKNOWN</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 "MALE",orders[[#This Row],[Customer Gender]]="", "FEMALE",orders[[#This Row],[Customer Gender]]="O", "OTHERS",TRUE,"UNKNOWN")</f>
        <v>UNKNOWN</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 "MALE",orders[[#This Row],[Customer Gender]]="", "FEMALE",orders[[#This Row],[Customer Gender]]="O", "OTHERS",TRUE,"UNKNOWN")</f>
        <v>UNKNOWN</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 "MALE",orders[[#This Row],[Customer Gender]]="", "FEMALE",orders[[#This Row],[Customer Gender]]="O", "OTHERS",TRUE,"UNKNOWN")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 "MALE",orders[[#This Row],[Customer Gender]]="", "FEMALE",orders[[#This Row],[Customer Gender]]="O", "OTHERS",TRUE,"UNKNOWN")</f>
        <v>UNKNOWN</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 "MALE",orders[[#This Row],[Customer Gender]]="", "FEMALE",orders[[#This Row],[Customer Gender]]="O", "OTHERS",TRUE,"UNKNOWN")</f>
        <v>UNKNOWN</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 "MALE",orders[[#This Row],[Customer Gender]]="", "FEMALE",orders[[#This Row],[Customer Gender]]="O", "OTHERS",TRUE,"UNKNOWN")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 "MALE",orders[[#This Row],[Customer Gender]]="", "FEMALE",orders[[#This Row],[Customer Gender]]="O", "OTHERS",TRUE,"UNKNOWN")</f>
        <v>UNKNOWN</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 "MALE",orders[[#This Row],[Customer Gender]]="", "FEMALE",orders[[#This Row],[Customer Gender]]="O", "OTHERS",TRUE,"UNKNOWN")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 "MALE",orders[[#This Row],[Customer Gender]]="", "FEMALE",orders[[#This Row],[Customer Gender]]="O", "OTHERS",TRUE,"UNKNOWN")</f>
        <v>UNKNOWN</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 "MALE",orders[[#This Row],[Customer Gender]]="", "FEMALE",orders[[#This Row],[Customer Gender]]="O", "OTHERS",TRUE,"UNKNOWN")</f>
        <v>UNKNOWN</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 "MALE",orders[[#This Row],[Customer Gender]]="", "FEMALE",orders[[#This Row],[Customer Gender]]="O", "OTHERS",TRUE,"UNKNOWN")</f>
        <v>UNKNOWN</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 "MALE",orders[[#This Row],[Customer Gender]]="", "FEMALE",orders[[#This Row],[Customer Gender]]="O", "OTHERS",TRUE,"UNKNOWN")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 "MALE",orders[[#This Row],[Customer Gender]]="", "FEMALE",orders[[#This Row],[Customer Gender]]="O", "OTHERS",TRUE,"UNKNOWN")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 "MALE",orders[[#This Row],[Customer Gender]]="", "FEMALE",orders[[#This Row],[Customer Gender]]="O", "OTHERS",TRUE,"UNKNOWN")</f>
        <v>UNKNOWN</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 "MALE",orders[[#This Row],[Customer Gender]]="", "FEMALE",orders[[#This Row],[Customer Gender]]="O", "OTHERS",TRUE,"UNKNOWN")</f>
        <v>UNKNOWN</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 "MALE",orders[[#This Row],[Customer Gender]]="", "FEMALE",orders[[#This Row],[Customer Gender]]="O", "OTHERS",TRUE,"UNKNOWN")</f>
        <v>UNKNOWN</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 "MALE",orders[[#This Row],[Customer Gender]]="", "FEMALE",orders[[#This Row],[Customer Gender]]="O", "OTHERS",TRUE,"UNKNOWN")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 "MALE",orders[[#This Row],[Customer Gender]]="", "FEMALE",orders[[#This Row],[Customer Gender]]="O", "OTHERS",TRUE,"UNKNOWN")</f>
        <v>UNKNOWN</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 "MALE",orders[[#This Row],[Customer Gender]]="", "FEMALE",orders[[#This Row],[Customer Gender]]="O", "OTHERS",TRUE,"UNKNOWN")</f>
        <v>UNKNOWN</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 "MALE",orders[[#This Row],[Customer Gender]]="", "FEMALE",orders[[#This Row],[Customer Gender]]="O", "OTHERS",TRUE,"UNKNOWN")</f>
        <v>UNKNOWN</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 "MALE",orders[[#This Row],[Customer Gender]]="", "FEMALE",orders[[#This Row],[Customer Gender]]="O", "OTHERS",TRUE,"UNKNOWN")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 "MALE",orders[[#This Row],[Customer Gender]]="", "FEMALE",orders[[#This Row],[Customer Gender]]="O", "OTHERS",TRUE,"UNKNOWN")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 "MALE",orders[[#This Row],[Customer Gender]]="", "FEMALE",orders[[#This Row],[Customer Gender]]="O", "OTHERS",TRUE,"UNKNOWN")</f>
        <v>UNKNOWN</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 "MALE",orders[[#This Row],[Customer Gender]]="", "FEMALE",orders[[#This Row],[Customer Gender]]="O", "OTHERS",TRUE,"UNKNOWN")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 "MALE",orders[[#This Row],[Customer Gender]]="", "FEMALE",orders[[#This Row],[Customer Gender]]="O", "OTHERS",TRUE,"UNKNOWN")</f>
        <v>UNKNOWN</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 "MALE",orders[[#This Row],[Customer Gender]]="", "FEMALE",orders[[#This Row],[Customer Gender]]="O", "OTHERS",TRUE,"UNKNOWN")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 "MALE",orders[[#This Row],[Customer Gender]]="", "FEMALE",orders[[#This Row],[Customer Gender]]="O", "OTHERS",TRUE,"UNKNOWN")</f>
        <v>UNKNOWN</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 "MALE",orders[[#This Row],[Customer Gender]]="", "FEMALE",orders[[#This Row],[Customer Gender]]="O", "OTHERS",TRUE,"UNKNOWN")</f>
        <v>UNKNOWN</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 "MALE",orders[[#This Row],[Customer Gender]]="", "FEMALE",orders[[#This Row],[Customer Gender]]="O", "OTHERS",TRUE,"UNKNOWN")</f>
        <v>UNKNOWN</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 "MALE",orders[[#This Row],[Customer Gender]]="", "FEMALE",orders[[#This Row],[Customer Gender]]="O", "OTHERS",TRUE,"UNKNOWN")</f>
        <v>UNKNOWN</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 "MALE",orders[[#This Row],[Customer Gender]]="", "FEMALE",orders[[#This Row],[Customer Gender]]="O", "OTHERS",TRUE,"UNKNOWN")</f>
        <v>UNKNOWN</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 "MALE",orders[[#This Row],[Customer Gender]]="", "FEMALE",orders[[#This Row],[Customer Gender]]="O", "OTHERS",TRUE,"UNKNOWN")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 "MALE",orders[[#This Row],[Customer Gender]]="", "FEMALE",orders[[#This Row],[Customer Gender]]="O", "OTHERS",TRUE,"UNKNOWN")</f>
        <v>UNKNOWN</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 "MALE",orders[[#This Row],[Customer Gender]]="", "FEMALE",orders[[#This Row],[Customer Gender]]="O", "OTHERS",TRUE,"UNKNOWN")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 "MALE",orders[[#This Row],[Customer Gender]]="", "FEMALE",orders[[#This Row],[Customer Gender]]="O", "OTHERS",TRUE,"UNKNOWN")</f>
        <v>UNKNOWN</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 "MALE",orders[[#This Row],[Customer Gender]]="", "FEMALE",orders[[#This Row],[Customer Gender]]="O", "OTHERS",TRUE,"UNKNOWN")</f>
        <v>OTHERS</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 "MALE",orders[[#This Row],[Customer Gender]]="", "FEMALE",orders[[#This Row],[Customer Gender]]="O", "OTHERS",TRUE,"UNKNOWN")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 "MALE",orders[[#This Row],[Customer Gender]]="", "FEMALE",orders[[#This Row],[Customer Gender]]="O", "OTHERS",TRUE,"UNKNOWN")</f>
        <v>UNKNOWN</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 "MALE",orders[[#This Row],[Customer Gender]]="", "FEMALE",orders[[#This Row],[Customer Gender]]="O", "OTHERS",TRUE,"UNKNOWN")</f>
        <v>FEMALE</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 "MALE",orders[[#This Row],[Customer Gender]]="", "FEMALE",orders[[#This Row],[Customer Gender]]="O", "OTHERS",TRUE,"UNKNOWN")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 "MALE",orders[[#This Row],[Customer Gender]]="", "FEMALE",orders[[#This Row],[Customer Gender]]="O", "OTHERS",TRUE,"UNKNOWN")</f>
        <v>UNKNOWN</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 "MALE",orders[[#This Row],[Customer Gender]]="", "FEMALE",orders[[#This Row],[Customer Gender]]="O", "OTHERS",TRUE,"UNKNOWN")</f>
        <v>UNKNOWN</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 "MALE",orders[[#This Row],[Customer Gender]]="", "FEMALE",orders[[#This Row],[Customer Gender]]="O", "OTHERS",TRUE,"UNKNOWN")</f>
        <v>UNKNOWN</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 "MALE",orders[[#This Row],[Customer Gender]]="", "FEMALE",orders[[#This Row],[Customer Gender]]="O", "OTHERS",TRUE,"UNKNOWN")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 "MALE",orders[[#This Row],[Customer Gender]]="", "FEMALE",orders[[#This Row],[Customer Gender]]="O", "OTHERS",TRUE,"UNKNOWN")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 "MALE",orders[[#This Row],[Customer Gender]]="", "FEMALE",orders[[#This Row],[Customer Gender]]="O", "OTHERS",TRUE,"UNKNOWN")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 "MALE",orders[[#This Row],[Customer Gender]]="", "FEMALE",orders[[#This Row],[Customer Gender]]="O", "OTHERS",TRUE,"UNKNOWN")</f>
        <v>UNKNOWN</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 "MALE",orders[[#This Row],[Customer Gender]]="", "FEMALE",orders[[#This Row],[Customer Gender]]="O", "OTHERS",TRUE,"UNKNOWN")</f>
        <v>UNKNOWN</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 "MALE",orders[[#This Row],[Customer Gender]]="", "FEMALE",orders[[#This Row],[Customer Gender]]="O", "OTHERS",TRUE,"UNKNOWN")</f>
        <v>OTHERS</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 "MALE",orders[[#This Row],[Customer Gender]]="", "FEMALE",orders[[#This Row],[Customer Gender]]="O", "OTHERS",TRUE,"UNKNOWN")</f>
        <v>UNKNOWN</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 "MALE",orders[[#This Row],[Customer Gender]]="", "FEMALE",orders[[#This Row],[Customer Gender]]="O", "OTHERS",TRUE,"UNKNOWN")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 "MALE",orders[[#This Row],[Customer Gender]]="", "FEMALE",orders[[#This Row],[Customer Gender]]="O", "OTHERS",TRUE,"UNKNOWN")</f>
        <v>UNKNOWN</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 "MALE",orders[[#This Row],[Customer Gender]]="", "FEMALE",orders[[#This Row],[Customer Gender]]="O", "OTHERS",TRUE,"UNKNOWN")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 "MALE",orders[[#This Row],[Customer Gender]]="", "FEMALE",orders[[#This Row],[Customer Gender]]="O", "OTHERS",TRUE,"UNKNOWN")</f>
        <v>OTHERS</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 "MALE",orders[[#This Row],[Customer Gender]]="", "FEMALE",orders[[#This Row],[Customer Gender]]="O", "OTHERS",TRUE,"UNKNOWN")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 "MALE",orders[[#This Row],[Customer Gender]]="", "FEMALE",orders[[#This Row],[Customer Gender]]="O", "OTHERS",TRUE,"UNKNOWN")</f>
        <v>UNKNOWN</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 "MALE",orders[[#This Row],[Customer Gender]]="", "FEMALE",orders[[#This Row],[Customer Gender]]="O", "OTHERS",TRUE,"UNKNOWN")</f>
        <v>UNKNOWN</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 "MALE",orders[[#This Row],[Customer Gender]]="", "FEMALE",orders[[#This Row],[Customer Gender]]="O", "OTHERS",TRUE,"UNKNOWN")</f>
        <v>UNKNOWN</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 "MALE",orders[[#This Row],[Customer Gender]]="", "FEMALE",orders[[#This Row],[Customer Gender]]="O", "OTHERS",TRUE,"UNKNOWN")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 "MALE",orders[[#This Row],[Customer Gender]]="", "FEMALE",orders[[#This Row],[Customer Gender]]="O", "OTHERS",TRUE,"UNKNOWN")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 "MALE",orders[[#This Row],[Customer Gender]]="", "FEMALE",orders[[#This Row],[Customer Gender]]="O", "OTHERS",TRUE,"UNKNOWN")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 "MALE",orders[[#This Row],[Customer Gender]]="", "FEMALE",orders[[#This Row],[Customer Gender]]="O", "OTHERS",TRUE,"UNKNOWN")</f>
        <v>UNKNOWN</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 "MALE",orders[[#This Row],[Customer Gender]]="", "FEMALE",orders[[#This Row],[Customer Gender]]="O", "OTHERS",TRUE,"UNKNOWN")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 "MALE",orders[[#This Row],[Customer Gender]]="", "FEMALE",orders[[#This Row],[Customer Gender]]="O", "OTHERS",TRUE,"UNKNOWN")</f>
        <v>UNKNOWN</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 "MALE",orders[[#This Row],[Customer Gender]]="", "FEMALE",orders[[#This Row],[Customer Gender]]="O", "OTHERS",TRUE,"UNKNOWN")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 "MALE",orders[[#This Row],[Customer Gender]]="", "FEMALE",orders[[#This Row],[Customer Gender]]="O", "OTHERS",TRUE,"UNKNOWN")</f>
        <v>UNKNOWN</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 "MALE",orders[[#This Row],[Customer Gender]]="", "FEMALE",orders[[#This Row],[Customer Gender]]="O", "OTHERS",TRUE,"UNKNOWN")</f>
        <v>OTHERS</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 "MALE",orders[[#This Row],[Customer Gender]]="", "FEMALE",orders[[#This Row],[Customer Gender]]="O", "OTHERS",TRUE,"UNKNOWN")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 "MALE",orders[[#This Row],[Customer Gender]]="", "FEMALE",orders[[#This Row],[Customer Gender]]="O", "OTHERS",TRUE,"UNKNOWN")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 "MALE",orders[[#This Row],[Customer Gender]]="", "FEMALE",orders[[#This Row],[Customer Gender]]="O", "OTHERS",TRUE,"UNKNOWN")</f>
        <v>UNKNOWN</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 "MALE",orders[[#This Row],[Customer Gender]]="", "FEMALE",orders[[#This Row],[Customer Gender]]="O", "OTHERS",TRUE,"UNKNOWN")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 "MALE",orders[[#This Row],[Customer Gender]]="", "FEMALE",orders[[#This Row],[Customer Gender]]="O", "OTHERS",TRUE,"UNKNOWN")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 "MALE",orders[[#This Row],[Customer Gender]]="", "FEMALE",orders[[#This Row],[Customer Gender]]="O", "OTHERS",TRUE,"UNKNOWN")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 "MALE",orders[[#This Row],[Customer Gender]]="", "FEMALE",orders[[#This Row],[Customer Gender]]="O", "OTHERS",TRUE,"UNKNOWN")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 "MALE",orders[[#This Row],[Customer Gender]]="", "FEMALE",orders[[#This Row],[Customer Gender]]="O", "OTHERS",TRUE,"UNKNOWN")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 "MALE",orders[[#This Row],[Customer Gender]]="", "FEMALE",orders[[#This Row],[Customer Gender]]="O", "OTHERS",TRUE,"UNKNOWN")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 "MALE",orders[[#This Row],[Customer Gender]]="", "FEMALE",orders[[#This Row],[Customer Gender]]="O", "OTHERS",TRUE,"UNKNOWN")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 "MALE",orders[[#This Row],[Customer Gender]]="", "FEMALE",orders[[#This Row],[Customer Gender]]="O", "OTHERS",TRUE,"UNKNOWN")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 "MALE",orders[[#This Row],[Customer Gender]]="", "FEMALE",orders[[#This Row],[Customer Gender]]="O", "OTHERS",TRUE,"UNKNOWN")</f>
        <v>UNKNOWN</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 "MALE",orders[[#This Row],[Customer Gender]]="", "FEMALE",orders[[#This Row],[Customer Gender]]="O", "OTHERS",TRUE,"UNKNOWN")</f>
        <v>UNKNOWN</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 "MALE",orders[[#This Row],[Customer Gender]]="", "FEMALE",orders[[#This Row],[Customer Gender]]="O", "OTHERS",TRUE,"UNKNOWN")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 "MALE",orders[[#This Row],[Customer Gender]]="", "FEMALE",orders[[#This Row],[Customer Gender]]="O", "OTHERS",TRUE,"UNKNOWN")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 "MALE",orders[[#This Row],[Customer Gender]]="", "FEMALE",orders[[#This Row],[Customer Gender]]="O", "OTHERS",TRUE,"UNKNOWN")</f>
        <v>UNKNOWN</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 "MALE",orders[[#This Row],[Customer Gender]]="", "FEMALE",orders[[#This Row],[Customer Gender]]="O", "OTHERS",TRUE,"UNKNOWN")</f>
        <v>UNKNOWN</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 "MALE",orders[[#This Row],[Customer Gender]]="", "FEMALE",orders[[#This Row],[Customer Gender]]="O", "OTHERS",TRUE,"UNKNOWN")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 "MALE",orders[[#This Row],[Customer Gender]]="", "FEMALE",orders[[#This Row],[Customer Gender]]="O", "OTHERS",TRUE,"UNKNOWN")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 "MALE",orders[[#This Row],[Customer Gender]]="", "FEMALE",orders[[#This Row],[Customer Gender]]="O", "OTHERS",TRUE,"UNKNOWN")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 "MALE",orders[[#This Row],[Customer Gender]]="", "FEMALE",orders[[#This Row],[Customer Gender]]="O", "OTHERS",TRUE,"UNKNOWN")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 "MALE",orders[[#This Row],[Customer Gender]]="", "FEMALE",orders[[#This Row],[Customer Gender]]="O", "OTHERS",TRUE,"UNKNOWN")</f>
        <v>UNKNOWN</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 "MALE",orders[[#This Row],[Customer Gender]]="", "FEMALE",orders[[#This Row],[Customer Gender]]="O", "OTHERS",TRUE,"UNKNOWN")</f>
        <v>UNKNOWN</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 "MALE",orders[[#This Row],[Customer Gender]]="", "FEMALE",orders[[#This Row],[Customer Gender]]="O", "OTHERS",TRUE,"UNKNOWN")</f>
        <v>UNKNOWN</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 "MALE",orders[[#This Row],[Customer Gender]]="", "FEMALE",orders[[#This Row],[Customer Gender]]="O", "OTHERS",TRUE,"UNKNOWN")</f>
        <v>UNKNOWN</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 "MALE",orders[[#This Row],[Customer Gender]]="", "FEMALE",orders[[#This Row],[Customer Gender]]="O", "OTHERS",TRUE,"UNKNOWN")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 "MALE",orders[[#This Row],[Customer Gender]]="", "FEMALE",orders[[#This Row],[Customer Gender]]="O", "OTHERS",TRUE,"UNKNOWN")</f>
        <v>UNKNOWN</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 "MALE",orders[[#This Row],[Customer Gender]]="", "FEMALE",orders[[#This Row],[Customer Gender]]="O", "OTHERS",TRUE,"UNKNOWN")</f>
        <v>UNKNOWN</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 "MALE",orders[[#This Row],[Customer Gender]]="", "FEMALE",orders[[#This Row],[Customer Gender]]="O", "OTHERS",TRUE,"UNKNOWN")</f>
        <v>UNKNOWN</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 "MALE",orders[[#This Row],[Customer Gender]]="", "FEMALE",orders[[#This Row],[Customer Gender]]="O", "OTHERS",TRUE,"UNKNOWN")</f>
        <v>UNKNOWN</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 "MALE",orders[[#This Row],[Customer Gender]]="", "FEMALE",orders[[#This Row],[Customer Gender]]="O", "OTHERS",TRUE,"UNKNOWN")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 "MALE",orders[[#This Row],[Customer Gender]]="", "FEMALE",orders[[#This Row],[Customer Gender]]="O", "OTHERS",TRUE,"UNKNOWN")</f>
        <v>UNKNOWN</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 "MALE",orders[[#This Row],[Customer Gender]]="", "FEMALE",orders[[#This Row],[Customer Gender]]="O", "OTHERS",TRUE,"UNKNOWN")</f>
        <v>UNKNOWN</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 "MALE",orders[[#This Row],[Customer Gender]]="", "FEMALE",orders[[#This Row],[Customer Gender]]="O", "OTHERS",TRUE,"UNKNOWN")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 "MALE",orders[[#This Row],[Customer Gender]]="", "FEMALE",orders[[#This Row],[Customer Gender]]="O", "OTHERS",TRUE,"UNKNOWN")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 "MALE",orders[[#This Row],[Customer Gender]]="", "FEMALE",orders[[#This Row],[Customer Gender]]="O", "OTHERS",TRUE,"UNKNOWN")</f>
        <v>UNKNOWN</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 "MALE",orders[[#This Row],[Customer Gender]]="", "FEMALE",orders[[#This Row],[Customer Gender]]="O", "OTHERS",TRUE,"UNKNOWN")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 "MALE",orders[[#This Row],[Customer Gender]]="", "FEMALE",orders[[#This Row],[Customer Gender]]="O", "OTHERS",TRUE,"UNKNOWN")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 "MALE",orders[[#This Row],[Customer Gender]]="", "FEMALE",orders[[#This Row],[Customer Gender]]="O", "OTHERS",TRUE,"UNKNOWN")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 "MALE",orders[[#This Row],[Customer Gender]]="", "FEMALE",orders[[#This Row],[Customer Gender]]="O", "OTHERS",TRUE,"UNKNOWN")</f>
        <v>UNKNOWN</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 "MALE",orders[[#This Row],[Customer Gender]]="", "FEMALE",orders[[#This Row],[Customer Gender]]="O", "OTHERS",TRUE,"UNKNOWN")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 "MALE",orders[[#This Row],[Customer Gender]]="", "FEMALE",orders[[#This Row],[Customer Gender]]="O", "OTHERS",TRUE,"UNKNOWN")</f>
        <v>UNKNOWN</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 "MALE",orders[[#This Row],[Customer Gender]]="", "FEMALE",orders[[#This Row],[Customer Gender]]="O", "OTHERS",TRUE,"UNKNOWN")</f>
        <v>UNKNOWN</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 "MALE",orders[[#This Row],[Customer Gender]]="", "FEMALE",orders[[#This Row],[Customer Gender]]="O", "OTHERS",TRUE,"UNKNOWN")</f>
        <v>UNKNOWN</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 "MALE",orders[[#This Row],[Customer Gender]]="", "FEMALE",orders[[#This Row],[Customer Gender]]="O", "OTHERS",TRUE,"UNKNOWN")</f>
        <v>UNKNOWN</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 "MALE",orders[[#This Row],[Customer Gender]]="", "FEMALE",orders[[#This Row],[Customer Gender]]="O", "OTHERS",TRUE,"UNKNOWN")</f>
        <v>UNKNOWN</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 "MALE",orders[[#This Row],[Customer Gender]]="", "FEMALE",orders[[#This Row],[Customer Gender]]="O", "OTHERS",TRUE,"UNKNOWN")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 "MALE",orders[[#This Row],[Customer Gender]]="", "FEMALE",orders[[#This Row],[Customer Gender]]="O", "OTHERS",TRUE,"UNKNOWN")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 "MALE",orders[[#This Row],[Customer Gender]]="", "FEMALE",orders[[#This Row],[Customer Gender]]="O", "OTHERS",TRUE,"UNKNOWN")</f>
        <v>UNKNOWN</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 "MALE",orders[[#This Row],[Customer Gender]]="", "FEMALE",orders[[#This Row],[Customer Gender]]="O", "OTHERS",TRUE,"UNKNOWN")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 "MALE",orders[[#This Row],[Customer Gender]]="", "FEMALE",orders[[#This Row],[Customer Gender]]="O", "OTHERS",TRUE,"UNKNOWN")</f>
        <v>UNKNOWN</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 "MALE",orders[[#This Row],[Customer Gender]]="", "FEMALE",orders[[#This Row],[Customer Gender]]="O", "OTHERS",TRUE,"UNKNOWN")</f>
        <v>UNKNOWN</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 "MALE",orders[[#This Row],[Customer Gender]]="", "FEMALE",orders[[#This Row],[Customer Gender]]="O", "OTHERS",TRUE,"UNKNOWN")</f>
        <v>UNKNOWN</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 "MALE",orders[[#This Row],[Customer Gender]]="", "FEMALE",orders[[#This Row],[Customer Gender]]="O", "OTHERS",TRUE,"UNKNOWN")</f>
        <v>OTHERS</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 "MALE",orders[[#This Row],[Customer Gender]]="", "FEMALE",orders[[#This Row],[Customer Gender]]="O", "OTHERS",TRUE,"UNKNOWN")</f>
        <v>UNKNOWN</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 "MALE",orders[[#This Row],[Customer Gender]]="", "FEMALE",orders[[#This Row],[Customer Gender]]="O", "OTHERS",TRUE,"UNKNOWN")</f>
        <v>UNKNOWN</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 "MALE",orders[[#This Row],[Customer Gender]]="", "FEMALE",orders[[#This Row],[Customer Gender]]="O", "OTHERS",TRUE,"UNKNOWN")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 "MALE",orders[[#This Row],[Customer Gender]]="", "FEMALE",orders[[#This Row],[Customer Gender]]="O", "OTHERS",TRUE,"UNKNOWN")</f>
        <v>UNKNOWN</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 "MALE",orders[[#This Row],[Customer Gender]]="", "FEMALE",orders[[#This Row],[Customer Gender]]="O", "OTHERS",TRUE,"UNKNOWN")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 "MALE",orders[[#This Row],[Customer Gender]]="", "FEMALE",orders[[#This Row],[Customer Gender]]="O", "OTHERS",TRUE,"UNKNOWN")</f>
        <v>OTHERS</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 "MALE",orders[[#This Row],[Customer Gender]]="", "FEMALE",orders[[#This Row],[Customer Gender]]="O", "OTHERS",TRUE,"UNKNOWN")</f>
        <v>UNKNOWN</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 "MALE",orders[[#This Row],[Customer Gender]]="", "FEMALE",orders[[#This Row],[Customer Gender]]="O", "OTHERS",TRUE,"UNKNOWN")</f>
        <v>FEMALE</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 "MALE",orders[[#This Row],[Customer Gender]]="", "FEMALE",orders[[#This Row],[Customer Gender]]="O", "OTHERS",TRUE,"UNKNOWN")</f>
        <v>UNKNOWN</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 "MALE",orders[[#This Row],[Customer Gender]]="", "FEMALE",orders[[#This Row],[Customer Gender]]="O", "OTHERS",TRUE,"UNKNOWN")</f>
        <v>UNKNOWN</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 "MALE",orders[[#This Row],[Customer Gender]]="", "FEMALE",orders[[#This Row],[Customer Gender]]="O", "OTHERS",TRUE,"UNKNOWN")</f>
        <v>FEMALE</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 "MALE",orders[[#This Row],[Customer Gender]]="", "FEMALE",orders[[#This Row],[Customer Gender]]="O", "OTHERS",TRUE,"UNKNOWN")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 "MALE",orders[[#This Row],[Customer Gender]]="", "FEMALE",orders[[#This Row],[Customer Gender]]="O", "OTHERS",TRUE,"UNKNOWN")</f>
        <v>OTHERS</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 "MALE",orders[[#This Row],[Customer Gender]]="", "FEMALE",orders[[#This Row],[Customer Gender]]="O", "OTHERS",TRUE,"UNKNOWN")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 "MALE",orders[[#This Row],[Customer Gender]]="", "FEMALE",orders[[#This Row],[Customer Gender]]="O", "OTHERS",TRUE,"UNKNOWN")</f>
        <v>UNKNOWN</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 "MALE",orders[[#This Row],[Customer Gender]]="", "FEMALE",orders[[#This Row],[Customer Gender]]="O", "OTHERS",TRUE,"UNKNOWN")</f>
        <v>FEMALE</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 "MALE",orders[[#This Row],[Customer Gender]]="", "FEMALE",orders[[#This Row],[Customer Gender]]="O", "OTHERS",TRUE,"UNKNOWN")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 "MALE",orders[[#This Row],[Customer Gender]]="", "FEMALE",orders[[#This Row],[Customer Gender]]="O", "OTHERS",TRUE,"UNKNOWN")</f>
        <v>UNKNOWN</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 "MALE",orders[[#This Row],[Customer Gender]]="", "FEMALE",orders[[#This Row],[Customer Gender]]="O", "OTHERS",TRUE,"UNKNOWN")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 "MALE",orders[[#This Row],[Customer Gender]]="", "FEMALE",orders[[#This Row],[Customer Gender]]="O", "OTHERS",TRUE,"UNKNOWN")</f>
        <v>UNKNOWN</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 "MALE",orders[[#This Row],[Customer Gender]]="", "FEMALE",orders[[#This Row],[Customer Gender]]="O", "OTHERS",TRUE,"UNKNOWN")</f>
        <v>FEMALE</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 "MALE",orders[[#This Row],[Customer Gender]]="", "FEMALE",orders[[#This Row],[Customer Gender]]="O", "OTHERS",TRUE,"UNKNOWN")</f>
        <v>UNKNOWN</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 "MALE",orders[[#This Row],[Customer Gender]]="", "FEMALE",orders[[#This Row],[Customer Gender]]="O", "OTHERS",TRUE,"UNKNOWN")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 "MALE",orders[[#This Row],[Customer Gender]]="", "FEMALE",orders[[#This Row],[Customer Gender]]="O", "OTHERS",TRUE,"UNKNOWN")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 "MALE",orders[[#This Row],[Customer Gender]]="", "FEMALE",orders[[#This Row],[Customer Gender]]="O", "OTHERS",TRUE,"UNKNOWN")</f>
        <v>UNKNOWN</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 "MALE",orders[[#This Row],[Customer Gender]]="", "FEMALE",orders[[#This Row],[Customer Gender]]="O", "OTHERS",TRUE,"UNKNOWN")</f>
        <v>UNKNOWN</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 "MALE",orders[[#This Row],[Customer Gender]]="", "FEMALE",orders[[#This Row],[Customer Gender]]="O", "OTHERS",TRUE,"UNKNOWN")</f>
        <v>UNKNOWN</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 "MALE",orders[[#This Row],[Customer Gender]]="", "FEMALE",orders[[#This Row],[Customer Gender]]="O", "OTHERS",TRUE,"UNKNOWN")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 "MALE",orders[[#This Row],[Customer Gender]]="", "FEMALE",orders[[#This Row],[Customer Gender]]="O", "OTHERS",TRUE,"UNKNOWN")</f>
        <v>UNKNOWN</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 "MALE",orders[[#This Row],[Customer Gender]]="", "FEMALE",orders[[#This Row],[Customer Gender]]="O", "OTHERS",TRUE,"UNKNOWN")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 "MALE",orders[[#This Row],[Customer Gender]]="", "FEMALE",orders[[#This Row],[Customer Gender]]="O", "OTHERS",TRUE,"UNKNOWN")</f>
        <v>UNKNOWN</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 "MALE",orders[[#This Row],[Customer Gender]]="", "FEMALE",orders[[#This Row],[Customer Gender]]="O", "OTHERS",TRUE,"UNKNOWN")</f>
        <v>FEMALE</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 "MALE",orders[[#This Row],[Customer Gender]]="", "FEMALE",orders[[#This Row],[Customer Gender]]="O", "OTHERS",TRUE,"UNKNOWN")</f>
        <v>UNKNOWN</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 "MALE",orders[[#This Row],[Customer Gender]]="", "FEMALE",orders[[#This Row],[Customer Gender]]="O", "OTHERS",TRUE,"UNKNOWN")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 "MALE",orders[[#This Row],[Customer Gender]]="", "FEMALE",orders[[#This Row],[Customer Gender]]="O", "OTHERS",TRUE,"UNKNOWN")</f>
        <v>OTHERS</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 "MALE",orders[[#This Row],[Customer Gender]]="", "FEMALE",orders[[#This Row],[Customer Gender]]="O", "OTHERS",TRUE,"UNKNOWN")</f>
        <v>UNKNOWN</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 "MALE",orders[[#This Row],[Customer Gender]]="", "FEMALE",orders[[#This Row],[Customer Gender]]="O", "OTHERS",TRUE,"UNKNOWN")</f>
        <v>UNKNOWN</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 "MALE",orders[[#This Row],[Customer Gender]]="", "FEMALE",orders[[#This Row],[Customer Gender]]="O", "OTHERS",TRUE,"UNKNOWN")</f>
        <v>UNKNOWN</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 "MALE",orders[[#This Row],[Customer Gender]]="", "FEMALE",orders[[#This Row],[Customer Gender]]="O", "OTHERS",TRUE,"UNKNOWN")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 "MALE",orders[[#This Row],[Customer Gender]]="", "FEMALE",orders[[#This Row],[Customer Gender]]="O", "OTHERS",TRUE,"UNKNOWN")</f>
        <v>UNKNOWN</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 "MALE",orders[[#This Row],[Customer Gender]]="", "FEMALE",orders[[#This Row],[Customer Gender]]="O", "OTHERS",TRUE,"UNKNOWN")</f>
        <v>UNKNOWN</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 "MALE",orders[[#This Row],[Customer Gender]]="", "FEMALE",orders[[#This Row],[Customer Gender]]="O", "OTHERS",TRUE,"UNKNOWN")</f>
        <v>UNKNOWN</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 "MALE",orders[[#This Row],[Customer Gender]]="", "FEMALE",orders[[#This Row],[Customer Gender]]="O", "OTHERS",TRUE,"UNKNOWN")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 "MALE",orders[[#This Row],[Customer Gender]]="", "FEMALE",orders[[#This Row],[Customer Gender]]="O", "OTHERS",TRUE,"UNKNOWN")</f>
        <v>UNKNOWN</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 "MALE",orders[[#This Row],[Customer Gender]]="", "FEMALE",orders[[#This Row],[Customer Gender]]="O", "OTHERS",TRUE,"UNKNOWN")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 "MALE",orders[[#This Row],[Customer Gender]]="", "FEMALE",orders[[#This Row],[Customer Gender]]="O", "OTHERS",TRUE,"UNKNOWN")</f>
        <v>UNKNOWN</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 "MALE",orders[[#This Row],[Customer Gender]]="", "FEMALE",orders[[#This Row],[Customer Gender]]="O", "OTHERS",TRUE,"UNKNOWN")</f>
        <v>UNKNOWN</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 "MALE",orders[[#This Row],[Customer Gender]]="", "FEMALE",orders[[#This Row],[Customer Gender]]="O", "OTHERS",TRUE,"UNKNOWN")</f>
        <v>UNKNOWN</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 "MALE",orders[[#This Row],[Customer Gender]]="", "FEMALE",orders[[#This Row],[Customer Gender]]="O", "OTHERS",TRUE,"UNKNOWN")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 "MALE",orders[[#This Row],[Customer Gender]]="", "FEMALE",orders[[#This Row],[Customer Gender]]="O", "OTHERS",TRUE,"UNKNOWN")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 "MALE",orders[[#This Row],[Customer Gender]]="", "FEMALE",orders[[#This Row],[Customer Gender]]="O", "OTHERS",TRUE,"UNKNOWN")</f>
        <v>OTHERS</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 "MALE",orders[[#This Row],[Customer Gender]]="", "FEMALE",orders[[#This Row],[Customer Gender]]="O", "OTHERS",TRUE,"UNKNOWN")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 "MALE",orders[[#This Row],[Customer Gender]]="", "FEMALE",orders[[#This Row],[Customer Gender]]="O", "OTHERS",TRUE,"UNKNOWN")</f>
        <v>UNKNOWN</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 "MALE",orders[[#This Row],[Customer Gender]]="", "FEMALE",orders[[#This Row],[Customer Gender]]="O", "OTHERS",TRUE,"UNKNOWN")</f>
        <v>UNKNOWN</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 "MALE",orders[[#This Row],[Customer Gender]]="", "FEMALE",orders[[#This Row],[Customer Gender]]="O", "OTHERS",TRUE,"UNKNOWN")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 "MALE",orders[[#This Row],[Customer Gender]]="", "FEMALE",orders[[#This Row],[Customer Gender]]="O", "OTHERS",TRUE,"UNKNOWN")</f>
        <v>OTHERS</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 "MALE",orders[[#This Row],[Customer Gender]]="", "FEMALE",orders[[#This Row],[Customer Gender]]="O", "OTHERS",TRUE,"UNKNOWN")</f>
        <v>UNKNOWN</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 "MALE",orders[[#This Row],[Customer Gender]]="", "FEMALE",orders[[#This Row],[Customer Gender]]="O", "OTHERS",TRUE,"UNKNOWN")</f>
        <v>OTHERS</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 "MALE",orders[[#This Row],[Customer Gender]]="", "FEMALE",orders[[#This Row],[Customer Gender]]="O", "OTHERS",TRUE,"UNKNOWN")</f>
        <v>UNKNOWN</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 "MALE",orders[[#This Row],[Customer Gender]]="", "FEMALE",orders[[#This Row],[Customer Gender]]="O", "OTHERS",TRUE,"UNKNOWN")</f>
        <v>UNKNOWN</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 "MALE",orders[[#This Row],[Customer Gender]]="", "FEMALE",orders[[#This Row],[Customer Gender]]="O", "OTHERS",TRUE,"UNKNOWN")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 "MALE",orders[[#This Row],[Customer Gender]]="", "FEMALE",orders[[#This Row],[Customer Gender]]="O", "OTHERS",TRUE,"UNKNOWN")</f>
        <v>UNKNOWN</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 "MALE",orders[[#This Row],[Customer Gender]]="", "FEMALE",orders[[#This Row],[Customer Gender]]="O", "OTHERS",TRUE,"UNKNOWN")</f>
        <v>OTHERS</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 "MALE",orders[[#This Row],[Customer Gender]]="", "FEMALE",orders[[#This Row],[Customer Gender]]="O", "OTHERS",TRUE,"UNKNOWN")</f>
        <v>UNKNOWN</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 "MALE",orders[[#This Row],[Customer Gender]]="", "FEMALE",orders[[#This Row],[Customer Gender]]="O", "OTHERS",TRUE,"UNKNOWN")</f>
        <v>UNKNOWN</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 "MALE",orders[[#This Row],[Customer Gender]]="", "FEMALE",orders[[#This Row],[Customer Gender]]="O", "OTHERS",TRUE,"UNKNOWN")</f>
        <v>UNKNOWN</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 "MALE",orders[[#This Row],[Customer Gender]]="", "FEMALE",orders[[#This Row],[Customer Gender]]="O", "OTHERS",TRUE,"UNKNOWN")</f>
        <v>UNKNOWN</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 "MALE",orders[[#This Row],[Customer Gender]]="", "FEMALE",orders[[#This Row],[Customer Gender]]="O", "OTHERS",TRUE,"UNKNOWN")</f>
        <v>UNKNOWN</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 "MALE",orders[[#This Row],[Customer Gender]]="", "FEMALE",orders[[#This Row],[Customer Gender]]="O", "OTHERS",TRUE,"UNKNOWN")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 "MALE",orders[[#This Row],[Customer Gender]]="", "FEMALE",orders[[#This Row],[Customer Gender]]="O", "OTHERS",TRUE,"UNKNOWN")</f>
        <v>UNKNOWN</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 "MALE",orders[[#This Row],[Customer Gender]]="", "FEMALE",orders[[#This Row],[Customer Gender]]="O", "OTHERS",TRUE,"UNKNOWN")</f>
        <v>UNKNOWN</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 "MALE",orders[[#This Row],[Customer Gender]]="", "FEMALE",orders[[#This Row],[Customer Gender]]="O", "OTHERS",TRUE,"UNKNOWN")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 "MALE",orders[[#This Row],[Customer Gender]]="", "FEMALE",orders[[#This Row],[Customer Gender]]="O", "OTHERS",TRUE,"UNKNOWN")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 "MALE",orders[[#This Row],[Customer Gender]]="", "FEMALE",orders[[#This Row],[Customer Gender]]="O", "OTHERS",TRUE,"UNKNOWN")</f>
        <v>FEMALE</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 "MALE",orders[[#This Row],[Customer Gender]]="", "FEMALE",orders[[#This Row],[Customer Gender]]="O", "OTHERS",TRUE,"UNKNOWN")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 "MALE",orders[[#This Row],[Customer Gender]]="", "FEMALE",orders[[#This Row],[Customer Gender]]="O", "OTHERS",TRUE,"UNKNOWN")</f>
        <v>UNKNOWN</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 "MALE",orders[[#This Row],[Customer Gender]]="", "FEMALE",orders[[#This Row],[Customer Gender]]="O", "OTHERS",TRUE,"UNKNOWN")</f>
        <v>UNKNOWN</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 "MALE",orders[[#This Row],[Customer Gender]]="", "FEMALE",orders[[#This Row],[Customer Gender]]="O", "OTHERS",TRUE,"UNKNOWN")</f>
        <v>UNKNOWN</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 "MALE",orders[[#This Row],[Customer Gender]]="", "FEMALE",orders[[#This Row],[Customer Gender]]="O", "OTHERS",TRUE,"UNKNOWN")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 "MALE",orders[[#This Row],[Customer Gender]]="", "FEMALE",orders[[#This Row],[Customer Gender]]="O", "OTHERS",TRUE,"UNKNOWN")</f>
        <v>UNKNOWN</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 "MALE",orders[[#This Row],[Customer Gender]]="", "FEMALE",orders[[#This Row],[Customer Gender]]="O", "OTHERS",TRUE,"UNKNOWN")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 "MALE",orders[[#This Row],[Customer Gender]]="", "FEMALE",orders[[#This Row],[Customer Gender]]="O", "OTHERS",TRUE,"UNKNOWN")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 "MALE",orders[[#This Row],[Customer Gender]]="", "FEMALE",orders[[#This Row],[Customer Gender]]="O", "OTHERS",TRUE,"UNKNOWN")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 "MALE",orders[[#This Row],[Customer Gender]]="", "FEMALE",orders[[#This Row],[Customer Gender]]="O", "OTHERS",TRUE,"UNKNOWN")</f>
        <v>UNKNOWN</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 "MALE",orders[[#This Row],[Customer Gender]]="", "FEMALE",orders[[#This Row],[Customer Gender]]="O", "OTHERS",TRUE,"UNKNOWN")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 "MALE",orders[[#This Row],[Customer Gender]]="", "FEMALE",orders[[#This Row],[Customer Gender]]="O", "OTHERS",TRUE,"UNKNOWN")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 "MALE",orders[[#This Row],[Customer Gender]]="", "FEMALE",orders[[#This Row],[Customer Gender]]="O", "OTHERS",TRUE,"UNKNOWN")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 "MALE",orders[[#This Row],[Customer Gender]]="", "FEMALE",orders[[#This Row],[Customer Gender]]="O", "OTHERS",TRUE,"UNKNOWN")</f>
        <v>UNKNOWN</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 "MALE",orders[[#This Row],[Customer Gender]]="", "FEMALE",orders[[#This Row],[Customer Gender]]="O", "OTHERS",TRUE,"UNKNOWN")</f>
        <v>UNKNOWN</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 "MALE",orders[[#This Row],[Customer Gender]]="", "FEMALE",orders[[#This Row],[Customer Gender]]="O", "OTHERS",TRUE,"UNKNOWN")</f>
        <v>UNKNOWN</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 "MALE",orders[[#This Row],[Customer Gender]]="", "FEMALE",orders[[#This Row],[Customer Gender]]="O", "OTHERS",TRUE,"UNKNOWN")</f>
        <v>UNKNOWN</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 "MALE",orders[[#This Row],[Customer Gender]]="", "FEMALE",orders[[#This Row],[Customer Gender]]="O", "OTHERS",TRUE,"UNKNOWN")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 "MALE",orders[[#This Row],[Customer Gender]]="", "FEMALE",orders[[#This Row],[Customer Gender]]="O", "OTHERS",TRUE,"UNKNOWN")</f>
        <v>UNKNOWN</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 "MALE",orders[[#This Row],[Customer Gender]]="", "FEMALE",orders[[#This Row],[Customer Gender]]="O", "OTHERS",TRUE,"UNKNOWN")</f>
        <v>UNKNOWN</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 "MALE",orders[[#This Row],[Customer Gender]]="", "FEMALE",orders[[#This Row],[Customer Gender]]="O", "OTHERS",TRUE,"UNKNOWN")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 "MALE",orders[[#This Row],[Customer Gender]]="", "FEMALE",orders[[#This Row],[Customer Gender]]="O", "OTHERS",TRUE,"UNKNOWN")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 "MALE",orders[[#This Row],[Customer Gender]]="", "FEMALE",orders[[#This Row],[Customer Gender]]="O", "OTHERS",TRUE,"UNKNOWN")</f>
        <v>UNKNOWN</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 "MALE",orders[[#This Row],[Customer Gender]]="", "FEMALE",orders[[#This Row],[Customer Gender]]="O", "OTHERS",TRUE,"UNKNOWN")</f>
        <v>FEMALE</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 "MALE",orders[[#This Row],[Customer Gender]]="", "FEMALE",orders[[#This Row],[Customer Gender]]="O", "OTHERS",TRUE,"UNKNOWN")</f>
        <v>UNKNOWN</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 "MALE",orders[[#This Row],[Customer Gender]]="", "FEMALE",orders[[#This Row],[Customer Gender]]="O", "OTHERS",TRUE,"UNKNOWN")</f>
        <v>UNKNOWN</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 "MALE",orders[[#This Row],[Customer Gender]]="", "FEMALE",orders[[#This Row],[Customer Gender]]="O", "OTHERS",TRUE,"UNKNOWN")</f>
        <v>OTHERS</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 "MALE",orders[[#This Row],[Customer Gender]]="", "FEMALE",orders[[#This Row],[Customer Gender]]="O", "OTHERS",TRUE,"UNKNOWN")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 "MALE",orders[[#This Row],[Customer Gender]]="", "FEMALE",orders[[#This Row],[Customer Gender]]="O", "OTHERS",TRUE,"UNKNOWN")</f>
        <v>UNKNOWN</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 "MALE",orders[[#This Row],[Customer Gender]]="", "FEMALE",orders[[#This Row],[Customer Gender]]="O", "OTHERS",TRUE,"UNKNOWN")</f>
        <v>UNKNOWN</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 "MALE",orders[[#This Row],[Customer Gender]]="", "FEMALE",orders[[#This Row],[Customer Gender]]="O", "OTHERS",TRUE,"UNKNOWN")</f>
        <v>UNKNOWN</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 "MALE",orders[[#This Row],[Customer Gender]]="", "FEMALE",orders[[#This Row],[Customer Gender]]="O", "OTHERS",TRUE,"UNKNOWN")</f>
        <v>OTHERS</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 "MALE",orders[[#This Row],[Customer Gender]]="", "FEMALE",orders[[#This Row],[Customer Gender]]="O", "OTHERS",TRUE,"UNKNOWN")</f>
        <v>UNKNOWN</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 "MALE",orders[[#This Row],[Customer Gender]]="", "FEMALE",orders[[#This Row],[Customer Gender]]="O", "OTHERS",TRUE,"UNKNOWN")</f>
        <v>UNKNOWN</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 "MALE",orders[[#This Row],[Customer Gender]]="", "FEMALE",orders[[#This Row],[Customer Gender]]="O", "OTHERS",TRUE,"UNKNOWN")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 "MALE",orders[[#This Row],[Customer Gender]]="", "FEMALE",orders[[#This Row],[Customer Gender]]="O", "OTHERS",TRUE,"UNKNOWN")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 "MALE",orders[[#This Row],[Customer Gender]]="", "FEMALE",orders[[#This Row],[Customer Gender]]="O", "OTHERS",TRUE,"UNKNOWN")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 "MALE",orders[[#This Row],[Customer Gender]]="", "FEMALE",orders[[#This Row],[Customer Gender]]="O", "OTHERS",TRUE,"UNKNOWN")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 "MALE",orders[[#This Row],[Customer Gender]]="", "FEMALE",orders[[#This Row],[Customer Gender]]="O", "OTHERS",TRUE,"UNKNOWN")</f>
        <v>UNKNOWN</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 "MALE",orders[[#This Row],[Customer Gender]]="", "FEMALE",orders[[#This Row],[Customer Gender]]="O", "OTHERS",TRUE,"UNKNOWN")</f>
        <v>UNKNOWN</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 "MALE",orders[[#This Row],[Customer Gender]]="", "FEMALE",orders[[#This Row],[Customer Gender]]="O", "OTHERS",TRUE,"UNKNOWN")</f>
        <v>UNKNOWN</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 "MALE",orders[[#This Row],[Customer Gender]]="", "FEMALE",orders[[#This Row],[Customer Gender]]="O", "OTHERS",TRUE,"UNKNOWN")</f>
        <v>FEMALE</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 "MALE",orders[[#This Row],[Customer Gender]]="", "FEMALE",orders[[#This Row],[Customer Gender]]="O", "OTHERS",TRUE,"UNKNOWN")</f>
        <v>OTHERS</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 "MALE",orders[[#This Row],[Customer Gender]]="", "FEMALE",orders[[#This Row],[Customer Gender]]="O", "OTHERS",TRUE,"UNKNOWN")</f>
        <v>UNKNOWN</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 "MALE",orders[[#This Row],[Customer Gender]]="", "FEMALE",orders[[#This Row],[Customer Gender]]="O", "OTHERS",TRUE,"UNKNOWN")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 "MALE",orders[[#This Row],[Customer Gender]]="", "FEMALE",orders[[#This Row],[Customer Gender]]="O", "OTHERS",TRUE,"UNKNOWN")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 "MALE",orders[[#This Row],[Customer Gender]]="", "FEMALE",orders[[#This Row],[Customer Gender]]="O", "OTHERS",TRUE,"UNKNOWN")</f>
        <v>UNKNOWN</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 "MALE",orders[[#This Row],[Customer Gender]]="", "FEMALE",orders[[#This Row],[Customer Gender]]="O", "OTHERS",TRUE,"UNKNOWN")</f>
        <v>UNKNOWN</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 "MALE",orders[[#This Row],[Customer Gender]]="", "FEMALE",orders[[#This Row],[Customer Gender]]="O", "OTHERS",TRUE,"UNKNOWN")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 "MALE",orders[[#This Row],[Customer Gender]]="", "FEMALE",orders[[#This Row],[Customer Gender]]="O", "OTHERS",TRUE,"UNKNOWN")</f>
        <v>UNKNOWN</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 "MALE",orders[[#This Row],[Customer Gender]]="", "FEMALE",orders[[#This Row],[Customer Gender]]="O", "OTHERS",TRUE,"UNKNOWN")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 "MALE",orders[[#This Row],[Customer Gender]]="", "FEMALE",orders[[#This Row],[Customer Gender]]="O", "OTHERS",TRUE,"UNKNOWN")</f>
        <v>UNKNOWN</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 "MALE",orders[[#This Row],[Customer Gender]]="", "FEMALE",orders[[#This Row],[Customer Gender]]="O", "OTHERS",TRUE,"UNKNOWN")</f>
        <v>UNKNOWN</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 "MALE",orders[[#This Row],[Customer Gender]]="", "FEMALE",orders[[#This Row],[Customer Gender]]="O", "OTHERS",TRUE,"UNKNOWN")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 "MALE",orders[[#This Row],[Customer Gender]]="", "FEMALE",orders[[#This Row],[Customer Gender]]="O", "OTHERS",TRUE,"UNKNOWN")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 "MALE",orders[[#This Row],[Customer Gender]]="", "FEMALE",orders[[#This Row],[Customer Gender]]="O", "OTHERS",TRUE,"UNKNOWN")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 "MALE",orders[[#This Row],[Customer Gender]]="", "FEMALE",orders[[#This Row],[Customer Gender]]="O", "OTHERS",TRUE,"UNKNOWN")</f>
        <v>UNKNOWN</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 "MALE",orders[[#This Row],[Customer Gender]]="", "FEMALE",orders[[#This Row],[Customer Gender]]="O", "OTHERS",TRUE,"UNKNOWN")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 "MALE",orders[[#This Row],[Customer Gender]]="", "FEMALE",orders[[#This Row],[Customer Gender]]="O", "OTHERS",TRUE,"UNKNOWN")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 "MALE",orders[[#This Row],[Customer Gender]]="", "FEMALE",orders[[#This Row],[Customer Gender]]="O", "OTHERS",TRUE,"UNKNOWN")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 "MALE",orders[[#This Row],[Customer Gender]]="", "FEMALE",orders[[#This Row],[Customer Gender]]="O", "OTHERS",TRUE,"UNKNOWN")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 "MALE",orders[[#This Row],[Customer Gender]]="", "FEMALE",orders[[#This Row],[Customer Gender]]="O", "OTHERS",TRUE,"UNKNOWN")</f>
        <v>FEMALE</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 "MALE",orders[[#This Row],[Customer Gender]]="", "FEMALE",orders[[#This Row],[Customer Gender]]="O", "OTHERS",TRUE,"UNKNOWN")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 "MALE",orders[[#This Row],[Customer Gender]]="", "FEMALE",orders[[#This Row],[Customer Gender]]="O", "OTHERS",TRUE,"UNKNOWN")</f>
        <v>UNKNOWN</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 "MALE",orders[[#This Row],[Customer Gender]]="", "FEMALE",orders[[#This Row],[Customer Gender]]="O", "OTHERS",TRUE,"UNKNOWN")</f>
        <v>UNKNOWN</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 "MALE",orders[[#This Row],[Customer Gender]]="", "FEMALE",orders[[#This Row],[Customer Gender]]="O", "OTHERS",TRUE,"UNKNOWN")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 "MALE",orders[[#This Row],[Customer Gender]]="", "FEMALE",orders[[#This Row],[Customer Gender]]="O", "OTHERS",TRUE,"UNKNOWN")</f>
        <v>UNKNOWN</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 "MALE",orders[[#This Row],[Customer Gender]]="", "FEMALE",orders[[#This Row],[Customer Gender]]="O", "OTHERS",TRUE,"UNKNOWN")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 "MALE",orders[[#This Row],[Customer Gender]]="", "FEMALE",orders[[#This Row],[Customer Gender]]="O", "OTHERS",TRUE,"UNKNOWN")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 "MALE",orders[[#This Row],[Customer Gender]]="", "FEMALE",orders[[#This Row],[Customer Gender]]="O", "OTHERS",TRUE,"UNKNOWN")</f>
        <v>UNKNOWN</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 "MALE",orders[[#This Row],[Customer Gender]]="", "FEMALE",orders[[#This Row],[Customer Gender]]="O", "OTHERS",TRUE,"UNKNOWN")</f>
        <v>UNKNOWN</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 "MALE",orders[[#This Row],[Customer Gender]]="", "FEMALE",orders[[#This Row],[Customer Gender]]="O", "OTHERS",TRUE,"UNKNOWN")</f>
        <v>UNKNOWN</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 "MALE",orders[[#This Row],[Customer Gender]]="", "FEMALE",orders[[#This Row],[Customer Gender]]="O", "OTHERS",TRUE,"UNKNOWN")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 "MALE",orders[[#This Row],[Customer Gender]]="", "FEMALE",orders[[#This Row],[Customer Gender]]="O", "OTHERS",TRUE,"UNKNOWN")</f>
        <v>UNKNOWN</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 "MALE",orders[[#This Row],[Customer Gender]]="", "FEMALE",orders[[#This Row],[Customer Gender]]="O", "OTHERS",TRUE,"UNKNOWN")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 "MALE",orders[[#This Row],[Customer Gender]]="", "FEMALE",orders[[#This Row],[Customer Gender]]="O", "OTHERS",TRUE,"UNKNOWN")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 "MALE",orders[[#This Row],[Customer Gender]]="", "FEMALE",orders[[#This Row],[Customer Gender]]="O", "OTHERS",TRUE,"UNKNOWN")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 "MALE",orders[[#This Row],[Customer Gender]]="", "FEMALE",orders[[#This Row],[Customer Gender]]="O", "OTHERS",TRUE,"UNKNOWN")</f>
        <v>UNKNOWN</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 "MALE",orders[[#This Row],[Customer Gender]]="", "FEMALE",orders[[#This Row],[Customer Gender]]="O", "OTHERS",TRUE,"UNKNOWN")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 "MALE",orders[[#This Row],[Customer Gender]]="", "FEMALE",orders[[#This Row],[Customer Gender]]="O", "OTHERS",TRUE,"UNKNOWN")</f>
        <v>UNKNOWN</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 "MALE",orders[[#This Row],[Customer Gender]]="", "FEMALE",orders[[#This Row],[Customer Gender]]="O", "OTHERS",TRUE,"UNKNOWN")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 "MALE",orders[[#This Row],[Customer Gender]]="", "FEMALE",orders[[#This Row],[Customer Gender]]="O", "OTHERS",TRUE,"UNKNOWN")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 "MALE",orders[[#This Row],[Customer Gender]]="", "FEMALE",orders[[#This Row],[Customer Gender]]="O", "OTHERS",TRUE,"UNKNOWN")</f>
        <v>UNKNOWN</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 "MALE",orders[[#This Row],[Customer Gender]]="", "FEMALE",orders[[#This Row],[Customer Gender]]="O", "OTHERS",TRUE,"UNKNOWN")</f>
        <v>OTHERS</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 "MALE",orders[[#This Row],[Customer Gender]]="", "FEMALE",orders[[#This Row],[Customer Gender]]="O", "OTHERS",TRUE,"UNKNOWN")</f>
        <v>FEMALE</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 "MALE",orders[[#This Row],[Customer Gender]]="", "FEMALE",orders[[#This Row],[Customer Gender]]="O", "OTHERS",TRUE,"UNKNOWN")</f>
        <v>UNKNOWN</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 "MALE",orders[[#This Row],[Customer Gender]]="", "FEMALE",orders[[#This Row],[Customer Gender]]="O", "OTHERS",TRUE,"UNKNOWN")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 "MALE",orders[[#This Row],[Customer Gender]]="", "FEMALE",orders[[#This Row],[Customer Gender]]="O", "OTHERS",TRUE,"UNKNOWN")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 "MALE",orders[[#This Row],[Customer Gender]]="", "FEMALE",orders[[#This Row],[Customer Gender]]="O", "OTHERS",TRUE,"UNKNOWN")</f>
        <v>UNKNOWN</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 "MALE",orders[[#This Row],[Customer Gender]]="", "FEMALE",orders[[#This Row],[Customer Gender]]="O", "OTHERS",TRUE,"UNKNOWN")</f>
        <v>UNKNOWN</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 "MALE",orders[[#This Row],[Customer Gender]]="", "FEMALE",orders[[#This Row],[Customer Gender]]="O", "OTHERS",TRUE,"UNKNOWN")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 "MALE",orders[[#This Row],[Customer Gender]]="", "FEMALE",orders[[#This Row],[Customer Gender]]="O", "OTHERS",TRUE,"UNKNOWN")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 "MALE",orders[[#This Row],[Customer Gender]]="", "FEMALE",orders[[#This Row],[Customer Gender]]="O", "OTHERS",TRUE,"UNKNOWN")</f>
        <v>OTHERS</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 "MALE",orders[[#This Row],[Customer Gender]]="", "FEMALE",orders[[#This Row],[Customer Gender]]="O", "OTHERS",TRUE,"UNKNOWN")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 "MALE",orders[[#This Row],[Customer Gender]]="", "FEMALE",orders[[#This Row],[Customer Gender]]="O", "OTHERS",TRUE,"UNKNOWN")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 "MALE",orders[[#This Row],[Customer Gender]]="", "FEMALE",orders[[#This Row],[Customer Gender]]="O", "OTHERS",TRUE,"UNKNOWN")</f>
        <v>UNKNOWN</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 "MALE",orders[[#This Row],[Customer Gender]]="", "FEMALE",orders[[#This Row],[Customer Gender]]="O", "OTHERS",TRUE,"UNKNOWN")</f>
        <v>UNKNOWN</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 "MALE",orders[[#This Row],[Customer Gender]]="", "FEMALE",orders[[#This Row],[Customer Gender]]="O", "OTHERS",TRUE,"UNKNOWN")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 "MALE",orders[[#This Row],[Customer Gender]]="", "FEMALE",orders[[#This Row],[Customer Gender]]="O", "OTHERS",TRUE,"UNKNOWN")</f>
        <v>UNKNOWN</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 "MALE",orders[[#This Row],[Customer Gender]]="", "FEMALE",orders[[#This Row],[Customer Gender]]="O", "OTHERS",TRUE,"UNKNOWN")</f>
        <v>UNKNOWN</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 "MALE",orders[[#This Row],[Customer Gender]]="", "FEMALE",orders[[#This Row],[Customer Gender]]="O", "OTHERS",TRUE,"UNKNOWN")</f>
        <v>UNKNOWN</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 "MALE",orders[[#This Row],[Customer Gender]]="", "FEMALE",orders[[#This Row],[Customer Gender]]="O", "OTHERS",TRUE,"UNKNOWN")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 "MALE",orders[[#This Row],[Customer Gender]]="", "FEMALE",orders[[#This Row],[Customer Gender]]="O", "OTHERS",TRUE,"UNKNOWN")</f>
        <v>FEMALE</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 "MALE",orders[[#This Row],[Customer Gender]]="", "FEMALE",orders[[#This Row],[Customer Gender]]="O", "OTHERS",TRUE,"UNKNOWN")</f>
        <v>UNKNOWN</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 "MALE",orders[[#This Row],[Customer Gender]]="", "FEMALE",orders[[#This Row],[Customer Gender]]="O", "OTHERS",TRUE,"UNKNOWN")</f>
        <v>FEMALE</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 "MALE",orders[[#This Row],[Customer Gender]]="", "FEMALE",orders[[#This Row],[Customer Gender]]="O", "OTHERS",TRUE,"UNKNOWN")</f>
        <v>FEMALE</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 "MALE",orders[[#This Row],[Customer Gender]]="", "FEMALE",orders[[#This Row],[Customer Gender]]="O", "OTHERS",TRUE,"UNKNOWN")</f>
        <v>UNKNOWN</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 "MALE",orders[[#This Row],[Customer Gender]]="", "FEMALE",orders[[#This Row],[Customer Gender]]="O", "OTHERS",TRUE,"UNKNOWN")</f>
        <v>UNKNOWN</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 "MALE",orders[[#This Row],[Customer Gender]]="", "FEMALE",orders[[#This Row],[Customer Gender]]="O", "OTHERS",TRUE,"UNKNOWN")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 "MALE",orders[[#This Row],[Customer Gender]]="", "FEMALE",orders[[#This Row],[Customer Gender]]="O", "OTHERS",TRUE,"UNKNOWN")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 "MALE",orders[[#This Row],[Customer Gender]]="", "FEMALE",orders[[#This Row],[Customer Gender]]="O", "OTHERS",TRUE,"UNKNOWN")</f>
        <v>UNKNOWN</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 "MALE",orders[[#This Row],[Customer Gender]]="", "FEMALE",orders[[#This Row],[Customer Gender]]="O", "OTHERS",TRUE,"UNKNOWN")</f>
        <v>UNKNOWN</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 "MALE",orders[[#This Row],[Customer Gender]]="", "FEMALE",orders[[#This Row],[Customer Gender]]="O", "OTHERS",TRUE,"UNKNOWN")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 "MALE",orders[[#This Row],[Customer Gender]]="", "FEMALE",orders[[#This Row],[Customer Gender]]="O", "OTHERS",TRUE,"UNKNOWN")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 "MALE",orders[[#This Row],[Customer Gender]]="", "FEMALE",orders[[#This Row],[Customer Gender]]="O", "OTHERS",TRUE,"UNKNOWN")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 "MALE",orders[[#This Row],[Customer Gender]]="", "FEMALE",orders[[#This Row],[Customer Gender]]="O", "OTHERS",TRUE,"UNKNOWN")</f>
        <v>UNKNOWN</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 "MALE",orders[[#This Row],[Customer Gender]]="", "FEMALE",orders[[#This Row],[Customer Gender]]="O", "OTHERS",TRUE,"UNKNOWN")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 "MALE",orders[[#This Row],[Customer Gender]]="", "FEMALE",orders[[#This Row],[Customer Gender]]="O", "OTHERS",TRUE,"UNKNOWN")</f>
        <v>OTHERS</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 "MALE",orders[[#This Row],[Customer Gender]]="", "FEMALE",orders[[#This Row],[Customer Gender]]="O", "OTHERS",TRUE,"UNKNOWN")</f>
        <v>FEMALE</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 "MALE",orders[[#This Row],[Customer Gender]]="", "FEMALE",orders[[#This Row],[Customer Gender]]="O", "OTHERS",TRUE,"UNKNOWN")</f>
        <v>UNKNOWN</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 "MALE",orders[[#This Row],[Customer Gender]]="", "FEMALE",orders[[#This Row],[Customer Gender]]="O", "OTHERS",TRUE,"UNKNOWN")</f>
        <v>FEMALE</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 "MALE",orders[[#This Row],[Customer Gender]]="", "FEMALE",orders[[#This Row],[Customer Gender]]="O", "OTHERS",TRUE,"UNKNOWN")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 "MALE",orders[[#This Row],[Customer Gender]]="", "FEMALE",orders[[#This Row],[Customer Gender]]="O", "OTHERS",TRUE,"UNKNOWN")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 "MALE",orders[[#This Row],[Customer Gender]]="", "FEMALE",orders[[#This Row],[Customer Gender]]="O", "OTHERS",TRUE,"UNKNOWN")</f>
        <v>UNKNOWN</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 "MALE",orders[[#This Row],[Customer Gender]]="", "FEMALE",orders[[#This Row],[Customer Gender]]="O", "OTHERS",TRUE,"UNKNOWN")</f>
        <v>UNKNOWN</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 "MALE",orders[[#This Row],[Customer Gender]]="", "FEMALE",orders[[#This Row],[Customer Gender]]="O", "OTHERS",TRUE,"UNKNOWN")</f>
        <v>UNKNOWN</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 "MALE",orders[[#This Row],[Customer Gender]]="", "FEMALE",orders[[#This Row],[Customer Gender]]="O", "OTHERS",TRUE,"UNKNOWN")</f>
        <v>UNKNOWN</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 "MALE",orders[[#This Row],[Customer Gender]]="", "FEMALE",orders[[#This Row],[Customer Gender]]="O", "OTHERS",TRUE,"UNKNOWN")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 "MALE",orders[[#This Row],[Customer Gender]]="", "FEMALE",orders[[#This Row],[Customer Gender]]="O", "OTHERS",TRUE,"UNKNOWN")</f>
        <v>FEMALE</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 "MALE",orders[[#This Row],[Customer Gender]]="", "FEMALE",orders[[#This Row],[Customer Gender]]="O", "OTHERS",TRUE,"UNKNOWN")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 "MALE",orders[[#This Row],[Customer Gender]]="", "FEMALE",orders[[#This Row],[Customer Gender]]="O", "OTHERS",TRUE,"UNKNOWN")</f>
        <v>FEMALE</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 "MALE",orders[[#This Row],[Customer Gender]]="", "FEMALE",orders[[#This Row],[Customer Gender]]="O", "OTHERS",TRUE,"UNKNOWN")</f>
        <v>UNKNOWN</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 "MALE",orders[[#This Row],[Customer Gender]]="", "FEMALE",orders[[#This Row],[Customer Gender]]="O", "OTHERS",TRUE,"UNKNOWN")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 "MALE",orders[[#This Row],[Customer Gender]]="", "FEMALE",orders[[#This Row],[Customer Gender]]="O", "OTHERS",TRUE,"UNKNOWN")</f>
        <v>UNKNOWN</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 "MALE",orders[[#This Row],[Customer Gender]]="", "FEMALE",orders[[#This Row],[Customer Gender]]="O", "OTHERS",TRUE,"UNKNOWN")</f>
        <v>FEMALE</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 "MALE",orders[[#This Row],[Customer Gender]]="", "FEMALE",orders[[#This Row],[Customer Gender]]="O", "OTHERS",TRUE,"UNKNOWN")</f>
        <v>UNKNOWN</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 "MALE",orders[[#This Row],[Customer Gender]]="", "FEMALE",orders[[#This Row],[Customer Gender]]="O", "OTHERS",TRUE,"UNKNOWN")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 "MALE",orders[[#This Row],[Customer Gender]]="", "FEMALE",orders[[#This Row],[Customer Gender]]="O", "OTHERS",TRUE,"UNKNOWN")</f>
        <v>OTHERS</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 "MALE",orders[[#This Row],[Customer Gender]]="", "FEMALE",orders[[#This Row],[Customer Gender]]="O", "OTHERS",TRUE,"UNKNOWN")</f>
        <v>UNKNOWN</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 "MALE",orders[[#This Row],[Customer Gender]]="", "FEMALE",orders[[#This Row],[Customer Gender]]="O", "OTHERS",TRUE,"UNKNOWN")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 "MALE",orders[[#This Row],[Customer Gender]]="", "FEMALE",orders[[#This Row],[Customer Gender]]="O", "OTHERS",TRUE,"UNKNOWN")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 "MALE",orders[[#This Row],[Customer Gender]]="", "FEMALE",orders[[#This Row],[Customer Gender]]="O", "OTHERS",TRUE,"UNKNOWN")</f>
        <v>UNKNOWN</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 "MALE",orders[[#This Row],[Customer Gender]]="", "FEMALE",orders[[#This Row],[Customer Gender]]="O", "OTHERS",TRUE,"UNKNOWN")</f>
        <v>UNKNOWN</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 "MALE",orders[[#This Row],[Customer Gender]]="", "FEMALE",orders[[#This Row],[Customer Gender]]="O", "OTHERS",TRUE,"UNKNOWN")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 "MALE",orders[[#This Row],[Customer Gender]]="", "FEMALE",orders[[#This Row],[Customer Gender]]="O", "OTHERS",TRUE,"UNKNOWN")</f>
        <v>UNKNOWN</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 "MALE",orders[[#This Row],[Customer Gender]]="", "FEMALE",orders[[#This Row],[Customer Gender]]="O", "OTHERS",TRUE,"UNKNOWN")</f>
        <v>UNKNOWN</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 "MALE",orders[[#This Row],[Customer Gender]]="", "FEMALE",orders[[#This Row],[Customer Gender]]="O", "OTHERS",TRUE,"UNKNOWN")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 "MALE",orders[[#This Row],[Customer Gender]]="", "FEMALE",orders[[#This Row],[Customer Gender]]="O", "OTHERS",TRUE,"UNKNOWN")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 "MALE",orders[[#This Row],[Customer Gender]]="", "FEMALE",orders[[#This Row],[Customer Gender]]="O", "OTHERS",TRUE,"UNKNOWN")</f>
        <v>UNKNOWN</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 "MALE",orders[[#This Row],[Customer Gender]]="", "FEMALE",orders[[#This Row],[Customer Gender]]="O", "OTHERS",TRUE,"UNKNOWN")</f>
        <v>UNKNOWN</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 "MALE",orders[[#This Row],[Customer Gender]]="", "FEMALE",orders[[#This Row],[Customer Gender]]="O", "OTHERS",TRUE,"UNKNOWN")</f>
        <v>UNKNOWN</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 "MALE",orders[[#This Row],[Customer Gender]]="", "FEMALE",orders[[#This Row],[Customer Gender]]="O", "OTHERS",TRUE,"UNKNOWN")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 "MALE",orders[[#This Row],[Customer Gender]]="", "FEMALE",orders[[#This Row],[Customer Gender]]="O", "OTHERS",TRUE,"UNKNOWN")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 "MALE",orders[[#This Row],[Customer Gender]]="", "FEMALE",orders[[#This Row],[Customer Gender]]="O", "OTHERS",TRUE,"UNKNOWN")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 "MALE",orders[[#This Row],[Customer Gender]]="", "FEMALE",orders[[#This Row],[Customer Gender]]="O", "OTHERS",TRUE,"UNKNOWN")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 "MALE",orders[[#This Row],[Customer Gender]]="", "FEMALE",orders[[#This Row],[Customer Gender]]="O", "OTHERS",TRUE,"UNKNOWN")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 "MALE",orders[[#This Row],[Customer Gender]]="", "FEMALE",orders[[#This Row],[Customer Gender]]="O", "OTHERS",TRUE,"UNKNOWN")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 "MALE",orders[[#This Row],[Customer Gender]]="", "FEMALE",orders[[#This Row],[Customer Gender]]="O", "OTHERS",TRUE,"UNKNOWN")</f>
        <v>UNKNOWN</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 "MALE",orders[[#This Row],[Customer Gender]]="", "FEMALE",orders[[#This Row],[Customer Gender]]="O", "OTHERS",TRUE,"UNKNOWN")</f>
        <v>UNKNOWN</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 "MALE",orders[[#This Row],[Customer Gender]]="", "FEMALE",orders[[#This Row],[Customer Gender]]="O", "OTHERS",TRUE,"UNKNOWN")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 "MALE",orders[[#This Row],[Customer Gender]]="", "FEMALE",orders[[#This Row],[Customer Gender]]="O", "OTHERS",TRUE,"UNKNOWN")</f>
        <v>UNKNOWN</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 "MALE",orders[[#This Row],[Customer Gender]]="", "FEMALE",orders[[#This Row],[Customer Gender]]="O", "OTHERS",TRUE,"UNKNOWN")</f>
        <v>UNKNOWN</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 "MALE",orders[[#This Row],[Customer Gender]]="", "FEMALE",orders[[#This Row],[Customer Gender]]="O", "OTHERS",TRUE,"UNKNOWN")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 "MALE",orders[[#This Row],[Customer Gender]]="", "FEMALE",orders[[#This Row],[Customer Gender]]="O", "OTHERS",TRUE,"UNKNOWN")</f>
        <v>UNKNOWN</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 "MALE",orders[[#This Row],[Customer Gender]]="", "FEMALE",orders[[#This Row],[Customer Gender]]="O", "OTHERS",TRUE,"UNKNOWN")</f>
        <v>UNKNOWN</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 "MALE",orders[[#This Row],[Customer Gender]]="", "FEMALE",orders[[#This Row],[Customer Gender]]="O", "OTHERS",TRUE,"UNKNOWN")</f>
        <v>UNKNOWN</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 "MALE",orders[[#This Row],[Customer Gender]]="", "FEMALE",orders[[#This Row],[Customer Gender]]="O", "OTHERS",TRUE,"UNKNOWN")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 "MALE",orders[[#This Row],[Customer Gender]]="", "FEMALE",orders[[#This Row],[Customer Gender]]="O", "OTHERS",TRUE,"UNKNOWN")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 "MALE",orders[[#This Row],[Customer Gender]]="", "FEMALE",orders[[#This Row],[Customer Gender]]="O", "OTHERS",TRUE,"UNKNOWN")</f>
        <v>UNKNOWN</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 "MALE",orders[[#This Row],[Customer Gender]]="", "FEMALE",orders[[#This Row],[Customer Gender]]="O", "OTHERS",TRUE,"UNKNOWN")</f>
        <v>UNKNOWN</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 "MALE",orders[[#This Row],[Customer Gender]]="", "FEMALE",orders[[#This Row],[Customer Gender]]="O", "OTHERS",TRUE,"UNKNOWN")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 "MALE",orders[[#This Row],[Customer Gender]]="", "FEMALE",orders[[#This Row],[Customer Gender]]="O", "OTHERS",TRUE,"UNKNOWN")</f>
        <v>UNKNOWN</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 "MALE",orders[[#This Row],[Customer Gender]]="", "FEMALE",orders[[#This Row],[Customer Gender]]="O", "OTHERS",TRUE,"UNKNOWN")</f>
        <v>UNKNOWN</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 "MALE",orders[[#This Row],[Customer Gender]]="", "FEMALE",orders[[#This Row],[Customer Gender]]="O", "OTHERS",TRUE,"UNKNOWN")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 "MALE",orders[[#This Row],[Customer Gender]]="", "FEMALE",orders[[#This Row],[Customer Gender]]="O", "OTHERS",TRUE,"UNKNOWN")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 "MALE",orders[[#This Row],[Customer Gender]]="", "FEMALE",orders[[#This Row],[Customer Gender]]="O", "OTHERS",TRUE,"UNKNOWN")</f>
        <v>UNKNOWN</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 "MALE",orders[[#This Row],[Customer Gender]]="", "FEMALE",orders[[#This Row],[Customer Gender]]="O", "OTHERS",TRUE,"UNKNOWN")</f>
        <v>UNKNOWN</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 "MALE",orders[[#This Row],[Customer Gender]]="", "FEMALE",orders[[#This Row],[Customer Gender]]="O", "OTHERS",TRUE,"UNKNOWN")</f>
        <v>UNKNOWN</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 "MALE",orders[[#This Row],[Customer Gender]]="", "FEMALE",orders[[#This Row],[Customer Gender]]="O", "OTHERS",TRUE,"UNKNOWN")</f>
        <v>UNKNOWN</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 "MALE",orders[[#This Row],[Customer Gender]]="", "FEMALE",orders[[#This Row],[Customer Gender]]="O", "OTHERS",TRUE,"UNKNOWN")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 "MALE",orders[[#This Row],[Customer Gender]]="", "FEMALE",orders[[#This Row],[Customer Gender]]="O", "OTHERS",TRUE,"UNKNOWN")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 "MALE",orders[[#This Row],[Customer Gender]]="", "FEMALE",orders[[#This Row],[Customer Gender]]="O", "OTHERS",TRUE,"UNKNOWN")</f>
        <v>UNKNOWN</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 "MALE",orders[[#This Row],[Customer Gender]]="", "FEMALE",orders[[#This Row],[Customer Gender]]="O", "OTHERS",TRUE,"UNKNOWN")</f>
        <v>UNKNOWN</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 "MALE",orders[[#This Row],[Customer Gender]]="", "FEMALE",orders[[#This Row],[Customer Gender]]="O", "OTHERS",TRUE,"UNKNOWN")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 "MALE",orders[[#This Row],[Customer Gender]]="", "FEMALE",orders[[#This Row],[Customer Gender]]="O", "OTHERS",TRUE,"UNKNOWN")</f>
        <v>UNKNOWN</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 "MALE",orders[[#This Row],[Customer Gender]]="", "FEMALE",orders[[#This Row],[Customer Gender]]="O", "OTHERS",TRUE,"UNKNOWN")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 "MALE",orders[[#This Row],[Customer Gender]]="", "FEMALE",orders[[#This Row],[Customer Gender]]="O", "OTHERS",TRUE,"UNKNOWN")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 "MALE",orders[[#This Row],[Customer Gender]]="", "FEMALE",orders[[#This Row],[Customer Gender]]="O", "OTHERS",TRUE,"UNKNOWN")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 "MALE",orders[[#This Row],[Customer Gender]]="", "FEMALE",orders[[#This Row],[Customer Gender]]="O", "OTHERS",TRUE,"UNKNOWN")</f>
        <v>UNKNOWN</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 "MALE",orders[[#This Row],[Customer Gender]]="", "FEMALE",orders[[#This Row],[Customer Gender]]="O", "OTHERS",TRUE,"UNKNOWN")</f>
        <v>UNKNOWN</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 "MALE",orders[[#This Row],[Customer Gender]]="", "FEMALE",orders[[#This Row],[Customer Gender]]="O", "OTHERS",TRUE,"UNKNOWN")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 "MALE",orders[[#This Row],[Customer Gender]]="", "FEMALE",orders[[#This Row],[Customer Gender]]="O", "OTHERS",TRUE,"UNKNOWN")</f>
        <v>UNKNOWN</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 "MALE",orders[[#This Row],[Customer Gender]]="", "FEMALE",orders[[#This Row],[Customer Gender]]="O", "OTHERS",TRUE,"UNKNOWN")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 "MALE",orders[[#This Row],[Customer Gender]]="", "FEMALE",orders[[#This Row],[Customer Gender]]="O", "OTHERS",TRUE,"UNKNOWN")</f>
        <v>UNKNOWN</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 "MALE",orders[[#This Row],[Customer Gender]]="", "FEMALE",orders[[#This Row],[Customer Gender]]="O", "OTHERS",TRUE,"UNKNOWN")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 "MALE",orders[[#This Row],[Customer Gender]]="", "FEMALE",orders[[#This Row],[Customer Gender]]="O", "OTHERS",TRUE,"UNKNOWN")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 "MALE",orders[[#This Row],[Customer Gender]]="", "FEMALE",orders[[#This Row],[Customer Gender]]="O", "OTHERS",TRUE,"UNKNOWN")</f>
        <v>UNKNOWN</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 "MALE",orders[[#This Row],[Customer Gender]]="", "FEMALE",orders[[#This Row],[Customer Gender]]="O", "OTHERS",TRUE,"UNKNOWN")</f>
        <v>OTHERS</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 "MALE",orders[[#This Row],[Customer Gender]]="", "FEMALE",orders[[#This Row],[Customer Gender]]="O", "OTHERS",TRUE,"UNKNOWN")</f>
        <v>UNKNOWN</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 "MALE",orders[[#This Row],[Customer Gender]]="", "FEMALE",orders[[#This Row],[Customer Gender]]="O", "OTHERS",TRUE,"UNKNOWN")</f>
        <v>UNKNOWN</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 "MALE",orders[[#This Row],[Customer Gender]]="", "FEMALE",orders[[#This Row],[Customer Gender]]="O", "OTHERS",TRUE,"UNKNOWN")</f>
        <v>UNKNOWN</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 "MALE",orders[[#This Row],[Customer Gender]]="", "FEMALE",orders[[#This Row],[Customer Gender]]="O", "OTHERS",TRUE,"UNKNOWN")</f>
        <v>UNKNOWN</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 "MALE",orders[[#This Row],[Customer Gender]]="", "FEMALE",orders[[#This Row],[Customer Gender]]="O", "OTHERS",TRUE,"UNKNOWN")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 "MALE",orders[[#This Row],[Customer Gender]]="", "FEMALE",orders[[#This Row],[Customer Gender]]="O", "OTHERS",TRUE,"UNKNOWN")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 "MALE",orders[[#This Row],[Customer Gender]]="", "FEMALE",orders[[#This Row],[Customer Gender]]="O", "OTHERS",TRUE,"UNKNOWN")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 "MALE",orders[[#This Row],[Customer Gender]]="", "FEMALE",orders[[#This Row],[Customer Gender]]="O", "OTHERS",TRUE,"UNKNOWN")</f>
        <v>UNKNOWN</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 "MALE",orders[[#This Row],[Customer Gender]]="", "FEMALE",orders[[#This Row],[Customer Gender]]="O", "OTHERS",TRUE,"UNKNOWN")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 "MALE",orders[[#This Row],[Customer Gender]]="", "FEMALE",orders[[#This Row],[Customer Gender]]="O", "OTHERS",TRUE,"UNKNOWN")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 "MALE",orders[[#This Row],[Customer Gender]]="", "FEMALE",orders[[#This Row],[Customer Gender]]="O", "OTHERS",TRUE,"UNKNOWN")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 "MALE",orders[[#This Row],[Customer Gender]]="", "FEMALE",orders[[#This Row],[Customer Gender]]="O", "OTHERS",TRUE,"UNKNOWN")</f>
        <v>UNKNOWN</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 "MALE",orders[[#This Row],[Customer Gender]]="", "FEMALE",orders[[#This Row],[Customer Gender]]="O", "OTHERS",TRUE,"UNKNOWN")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 "MALE",orders[[#This Row],[Customer Gender]]="", "FEMALE",orders[[#This Row],[Customer Gender]]="O", "OTHERS",TRUE,"UNKNOWN")</f>
        <v>UNKNOWN</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 "MALE",orders[[#This Row],[Customer Gender]]="", "FEMALE",orders[[#This Row],[Customer Gender]]="O", "OTHERS",TRUE,"UNKNOWN")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 "MALE",orders[[#This Row],[Customer Gender]]="", "FEMALE",orders[[#This Row],[Customer Gender]]="O", "OTHERS",TRUE,"UNKNOWN")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 "MALE",orders[[#This Row],[Customer Gender]]="", "FEMALE",orders[[#This Row],[Customer Gender]]="O", "OTHERS",TRUE,"UNKNOWN")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 "MALE",orders[[#This Row],[Customer Gender]]="", "FEMALE",orders[[#This Row],[Customer Gender]]="O", "OTHERS",TRUE,"UNKNOWN")</f>
        <v>UNKNOWN</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 "MALE",orders[[#This Row],[Customer Gender]]="", "FEMALE",orders[[#This Row],[Customer Gender]]="O", "OTHERS",TRUE,"UNKNOWN")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 "MALE",orders[[#This Row],[Customer Gender]]="", "FEMALE",orders[[#This Row],[Customer Gender]]="O", "OTHERS",TRUE,"UNKNOWN")</f>
        <v>UNKNOWN</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 "MALE",orders[[#This Row],[Customer Gender]]="", "FEMALE",orders[[#This Row],[Customer Gender]]="O", "OTHERS",TRUE,"UNKNOWN")</f>
        <v>UNKNOWN</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 "MALE",orders[[#This Row],[Customer Gender]]="", "FEMALE",orders[[#This Row],[Customer Gender]]="O", "OTHERS",TRUE,"UNKNOWN")</f>
        <v>UNKNOWN</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 "MALE",orders[[#This Row],[Customer Gender]]="", "FEMALE",orders[[#This Row],[Customer Gender]]="O", "OTHERS",TRUE,"UNKNOWN")</f>
        <v>UNKNOWN</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 "MALE",orders[[#This Row],[Customer Gender]]="", "FEMALE",orders[[#This Row],[Customer Gender]]="O", "OTHERS",TRUE,"UNKNOWN")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 "MALE",orders[[#This Row],[Customer Gender]]="", "FEMALE",orders[[#This Row],[Customer Gender]]="O", "OTHERS",TRUE,"UNKNOWN")</f>
        <v>UNKNOWN</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 "MALE",orders[[#This Row],[Customer Gender]]="", "FEMALE",orders[[#This Row],[Customer Gender]]="O", "OTHERS",TRUE,"UNKNOWN")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 "MALE",orders[[#This Row],[Customer Gender]]="", "FEMALE",orders[[#This Row],[Customer Gender]]="O", "OTHERS",TRUE,"UNKNOWN")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 "MALE",orders[[#This Row],[Customer Gender]]="", "FEMALE",orders[[#This Row],[Customer Gender]]="O", "OTHERS",TRUE,"UNKNOWN")</f>
        <v>UNKNOWN</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 "MALE",orders[[#This Row],[Customer Gender]]="", "FEMALE",orders[[#This Row],[Customer Gender]]="O", "OTHERS",TRUE,"UNKNOWN")</f>
        <v>OTHERS</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 "MALE",orders[[#This Row],[Customer Gender]]="", "FEMALE",orders[[#This Row],[Customer Gender]]="O", "OTHERS",TRUE,"UNKNOWN")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 "MALE",orders[[#This Row],[Customer Gender]]="", "FEMALE",orders[[#This Row],[Customer Gender]]="O", "OTHERS",TRUE,"UNKNOWN")</f>
        <v>UNKNOWN</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 "MALE",orders[[#This Row],[Customer Gender]]="", "FEMALE",orders[[#This Row],[Customer Gender]]="O", "OTHERS",TRUE,"UNKNOWN")</f>
        <v>UNKNOWN</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 "MALE",orders[[#This Row],[Customer Gender]]="", "FEMALE",orders[[#This Row],[Customer Gender]]="O", "OTHERS",TRUE,"UNKNOWN")</f>
        <v>UNKNOWN</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 "MALE",orders[[#This Row],[Customer Gender]]="", "FEMALE",orders[[#This Row],[Customer Gender]]="O", "OTHERS",TRUE,"UNKNOWN")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 "MALE",orders[[#This Row],[Customer Gender]]="", "FEMALE",orders[[#This Row],[Customer Gender]]="O", "OTHERS",TRUE,"UNKNOWN")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 "MALE",orders[[#This Row],[Customer Gender]]="", "FEMALE",orders[[#This Row],[Customer Gender]]="O", "OTHERS",TRUE,"UNKNOWN")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 "MALE",orders[[#This Row],[Customer Gender]]="", "FEMALE",orders[[#This Row],[Customer Gender]]="O", "OTHERS",TRUE,"UNKNOWN")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 "MALE",orders[[#This Row],[Customer Gender]]="", "FEMALE",orders[[#This Row],[Customer Gender]]="O", "OTHERS",TRUE,"UNKNOWN")</f>
        <v>UNKNOWN</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 "MALE",orders[[#This Row],[Customer Gender]]="", "FEMALE",orders[[#This Row],[Customer Gender]]="O", "OTHERS",TRUE,"UNKNOWN")</f>
        <v>UNKNOWN</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 "MALE",orders[[#This Row],[Customer Gender]]="", "FEMALE",orders[[#This Row],[Customer Gender]]="O", "OTHERS",TRUE,"UNKNOWN")</f>
        <v>FEMALE</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 "MALE",orders[[#This Row],[Customer Gender]]="", "FEMALE",orders[[#This Row],[Customer Gender]]="O", "OTHERS",TRUE,"UNKNOWN")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 "MALE",orders[[#This Row],[Customer Gender]]="", "FEMALE",orders[[#This Row],[Customer Gender]]="O", "OTHERS",TRUE,"UNKNOWN")</f>
        <v>UNKNOWN</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 "MALE",orders[[#This Row],[Customer Gender]]="", "FEMALE",orders[[#This Row],[Customer Gender]]="O", "OTHERS",TRUE,"UNKNOWN")</f>
        <v>UNKNOWN</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 "MALE",orders[[#This Row],[Customer Gender]]="", "FEMALE",orders[[#This Row],[Customer Gender]]="O", "OTHERS",TRUE,"UNKNOWN")</f>
        <v>UNKNOWN</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 "MALE",orders[[#This Row],[Customer Gender]]="", "FEMALE",orders[[#This Row],[Customer Gender]]="O", "OTHERS",TRUE,"UNKNOWN")</f>
        <v>UNKNOWN</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 "MALE",orders[[#This Row],[Customer Gender]]="", "FEMALE",orders[[#This Row],[Customer Gender]]="O", "OTHERS",TRUE,"UNKNOWN")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 "MALE",orders[[#This Row],[Customer Gender]]="", "FEMALE",orders[[#This Row],[Customer Gender]]="O", "OTHERS",TRUE,"UNKNOWN")</f>
        <v>UNKNOWN</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 "MALE",orders[[#This Row],[Customer Gender]]="", "FEMALE",orders[[#This Row],[Customer Gender]]="O", "OTHERS",TRUE,"UNKNOWN")</f>
        <v>FEMALE</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 "MALE",orders[[#This Row],[Customer Gender]]="", "FEMALE",orders[[#This Row],[Customer Gender]]="O", "OTHERS",TRUE,"UNKNOWN")</f>
        <v>UNKNOWN</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 "MALE",orders[[#This Row],[Customer Gender]]="", "FEMALE",orders[[#This Row],[Customer Gender]]="O", "OTHERS",TRUE,"UNKNOWN")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 "MALE",orders[[#This Row],[Customer Gender]]="", "FEMALE",orders[[#This Row],[Customer Gender]]="O", "OTHERS",TRUE,"UNKNOWN")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 "MALE",orders[[#This Row],[Customer Gender]]="", "FEMALE",orders[[#This Row],[Customer Gender]]="O", "OTHERS",TRUE,"UNKNOWN")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 "MALE",orders[[#This Row],[Customer Gender]]="", "FEMALE",orders[[#This Row],[Customer Gender]]="O", "OTHERS",TRUE,"UNKNOWN")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 "MALE",orders[[#This Row],[Customer Gender]]="", "FEMALE",orders[[#This Row],[Customer Gender]]="O", "OTHERS",TRUE,"UNKNOWN")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 "MALE",orders[[#This Row],[Customer Gender]]="", "FEMALE",orders[[#This Row],[Customer Gender]]="O", "OTHERS",TRUE,"UNKNOWN")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 "MALE",orders[[#This Row],[Customer Gender]]="", "FEMALE",orders[[#This Row],[Customer Gender]]="O", "OTHERS",TRUE,"UNKNOWN")</f>
        <v>UNKNOWN</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 "MALE",orders[[#This Row],[Customer Gender]]="", "FEMALE",orders[[#This Row],[Customer Gender]]="O", "OTHERS",TRUE,"UNKNOWN")</f>
        <v>UNKNOWN</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 "MALE",orders[[#This Row],[Customer Gender]]="", "FEMALE",orders[[#This Row],[Customer Gender]]="O", "OTHERS",TRUE,"UNKNOWN")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 "MALE",orders[[#This Row],[Customer Gender]]="", "FEMALE",orders[[#This Row],[Customer Gender]]="O", "OTHERS",TRUE,"UNKNOWN")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 "MALE",orders[[#This Row],[Customer Gender]]="", "FEMALE",orders[[#This Row],[Customer Gender]]="O", "OTHERS",TRUE,"UNKNOWN")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 "MALE",orders[[#This Row],[Customer Gender]]="", "FEMALE",orders[[#This Row],[Customer Gender]]="O", "OTHERS",TRUE,"UNKNOWN")</f>
        <v>UNKNOWN</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 "MALE",orders[[#This Row],[Customer Gender]]="", "FEMALE",orders[[#This Row],[Customer Gender]]="O", "OTHERS",TRUE,"UNKNOWN")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 "MALE",orders[[#This Row],[Customer Gender]]="", "FEMALE",orders[[#This Row],[Customer Gender]]="O", "OTHERS",TRUE,"UNKNOWN")</f>
        <v>UNKNOWN</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 "MALE",orders[[#This Row],[Customer Gender]]="", "FEMALE",orders[[#This Row],[Customer Gender]]="O", "OTHERS",TRUE,"UNKNOWN")</f>
        <v>UNKNOWN</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 "MALE",orders[[#This Row],[Customer Gender]]="", "FEMALE",orders[[#This Row],[Customer Gender]]="O", "OTHERS",TRUE,"UNKNOWN")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 "MALE",orders[[#This Row],[Customer Gender]]="", "FEMALE",orders[[#This Row],[Customer Gender]]="O", "OTHERS",TRUE,"UNKNOWN")</f>
        <v>UNKNOWN</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 "MALE",orders[[#This Row],[Customer Gender]]="", "FEMALE",orders[[#This Row],[Customer Gender]]="O", "OTHERS",TRUE,"UNKNOWN")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 "MALE",orders[[#This Row],[Customer Gender]]="", "FEMALE",orders[[#This Row],[Customer Gender]]="O", "OTHERS",TRUE,"UNKNOWN")</f>
        <v>UNKNOWN</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 "MALE",orders[[#This Row],[Customer Gender]]="", "FEMALE",orders[[#This Row],[Customer Gender]]="O", "OTHERS",TRUE,"UNKNOWN")</f>
        <v>UNKNOWN</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 "MALE",orders[[#This Row],[Customer Gender]]="", "FEMALE",orders[[#This Row],[Customer Gender]]="O", "OTHERS",TRUE,"UNKNOWN")</f>
        <v>UNKNOWN</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 "MALE",orders[[#This Row],[Customer Gender]]="", "FEMALE",orders[[#This Row],[Customer Gender]]="O", "OTHERS",TRUE,"UNKNOWN")</f>
        <v>UNKNOWN</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 "MALE",orders[[#This Row],[Customer Gender]]="", "FEMALE",orders[[#This Row],[Customer Gender]]="O", "OTHERS",TRUE,"UNKNOWN")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 "MALE",orders[[#This Row],[Customer Gender]]="", "FEMALE",orders[[#This Row],[Customer Gender]]="O", "OTHERS",TRUE,"UNKNOWN")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 "MALE",orders[[#This Row],[Customer Gender]]="", "FEMALE",orders[[#This Row],[Customer Gender]]="O", "OTHERS",TRUE,"UNKNOWN")</f>
        <v>UNKNOWN</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 "MALE",orders[[#This Row],[Customer Gender]]="", "FEMALE",orders[[#This Row],[Customer Gender]]="O", "OTHERS",TRUE,"UNKNOWN")</f>
        <v>UNKNOWN</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 "MALE",orders[[#This Row],[Customer Gender]]="", "FEMALE",orders[[#This Row],[Customer Gender]]="O", "OTHERS",TRUE,"UNKNOWN")</f>
        <v>FEMALE</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 "MALE",orders[[#This Row],[Customer Gender]]="", "FEMALE",orders[[#This Row],[Customer Gender]]="O", "OTHERS",TRUE,"UNKNOWN")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 "MALE",orders[[#This Row],[Customer Gender]]="", "FEMALE",orders[[#This Row],[Customer Gender]]="O", "OTHERS",TRUE,"UNKNOWN")</f>
        <v>UNKNOWN</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 "MALE",orders[[#This Row],[Customer Gender]]="", "FEMALE",orders[[#This Row],[Customer Gender]]="O", "OTHERS",TRUE,"UNKNOWN")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 "MALE",orders[[#This Row],[Customer Gender]]="", "FEMALE",orders[[#This Row],[Customer Gender]]="O", "OTHERS",TRUE,"UNKNOWN")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 "MALE",orders[[#This Row],[Customer Gender]]="", "FEMALE",orders[[#This Row],[Customer Gender]]="O", "OTHERS",TRUE,"UNKNOWN")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 "MALE",orders[[#This Row],[Customer Gender]]="", "FEMALE",orders[[#This Row],[Customer Gender]]="O", "OTHERS",TRUE,"UNKNOWN")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 "MALE",orders[[#This Row],[Customer Gender]]="", "FEMALE",orders[[#This Row],[Customer Gender]]="O", "OTHERS",TRUE,"UNKNOWN")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 "MALE",orders[[#This Row],[Customer Gender]]="", "FEMALE",orders[[#This Row],[Customer Gender]]="O", "OTHERS",TRUE,"UNKNOWN")</f>
        <v>FEMALE</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 "MALE",orders[[#This Row],[Customer Gender]]="", "FEMALE",orders[[#This Row],[Customer Gender]]="O", "OTHERS",TRUE,"UNKNOWN")</f>
        <v>UNKNOWN</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 "MALE",orders[[#This Row],[Customer Gender]]="", "FEMALE",orders[[#This Row],[Customer Gender]]="O", "OTHERS",TRUE,"UNKNOWN")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 "MALE",orders[[#This Row],[Customer Gender]]="", "FEMALE",orders[[#This Row],[Customer Gender]]="O", "OTHERS",TRUE,"UNKNOWN")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 "MALE",orders[[#This Row],[Customer Gender]]="", "FEMALE",orders[[#This Row],[Customer Gender]]="O", "OTHERS",TRUE,"UNKNOWN")</f>
        <v>UNKNOWN</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 "MALE",orders[[#This Row],[Customer Gender]]="", "FEMALE",orders[[#This Row],[Customer Gender]]="O", "OTHERS",TRUE,"UNKNOWN")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 "MALE",orders[[#This Row],[Customer Gender]]="", "FEMALE",orders[[#This Row],[Customer Gender]]="O", "OTHERS",TRUE,"UNKNOWN")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 "MALE",orders[[#This Row],[Customer Gender]]="", "FEMALE",orders[[#This Row],[Customer Gender]]="O", "OTHERS",TRUE,"UNKNOWN")</f>
        <v>UNKNOWN</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 "MALE",orders[[#This Row],[Customer Gender]]="", "FEMALE",orders[[#This Row],[Customer Gender]]="O", "OTHERS",TRUE,"UNKNOWN")</f>
        <v>UNKNOWN</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 "MALE",orders[[#This Row],[Customer Gender]]="", "FEMALE",orders[[#This Row],[Customer Gender]]="O", "OTHERS",TRUE,"UNKNOWN")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 "MALE",orders[[#This Row],[Customer Gender]]="", "FEMALE",orders[[#This Row],[Customer Gender]]="O", "OTHERS",TRUE,"UNKNOWN")</f>
        <v>UNKNOWN</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 "MALE",orders[[#This Row],[Customer Gender]]="", "FEMALE",orders[[#This Row],[Customer Gender]]="O", "OTHERS",TRUE,"UNKNOWN")</f>
        <v>UNKNOWN</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 "MALE",orders[[#This Row],[Customer Gender]]="", "FEMALE",orders[[#This Row],[Customer Gender]]="O", "OTHERS",TRUE,"UNKNOWN")</f>
        <v>UNKNOWN</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 "MALE",orders[[#This Row],[Customer Gender]]="", "FEMALE",orders[[#This Row],[Customer Gender]]="O", "OTHERS",TRUE,"UNKNOWN")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 "MALE",orders[[#This Row],[Customer Gender]]="", "FEMALE",orders[[#This Row],[Customer Gender]]="O", "OTHERS",TRUE,"UNKNOWN")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 "MALE",orders[[#This Row],[Customer Gender]]="", "FEMALE",orders[[#This Row],[Customer Gender]]="O", "OTHERS",TRUE,"UNKNOWN")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 "MALE",orders[[#This Row],[Customer Gender]]="", "FEMALE",orders[[#This Row],[Customer Gender]]="O", "OTHERS",TRUE,"UNKNOWN")</f>
        <v>OTHERS</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 "MALE",orders[[#This Row],[Customer Gender]]="", "FEMALE",orders[[#This Row],[Customer Gender]]="O", "OTHERS",TRUE,"UNKNOWN")</f>
        <v>UNKNOWN</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 "MALE",orders[[#This Row],[Customer Gender]]="", "FEMALE",orders[[#This Row],[Customer Gender]]="O", "OTHERS",TRUE,"UNKNOWN")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 "MALE",orders[[#This Row],[Customer Gender]]="", "FEMALE",orders[[#This Row],[Customer Gender]]="O", "OTHERS",TRUE,"UNKNOWN")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 "MALE",orders[[#This Row],[Customer Gender]]="", "FEMALE",orders[[#This Row],[Customer Gender]]="O", "OTHERS",TRUE,"UNKNOWN")</f>
        <v>UNKNOWN</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 "MALE",orders[[#This Row],[Customer Gender]]="", "FEMALE",orders[[#This Row],[Customer Gender]]="O", "OTHERS",TRUE,"UNKNOWN")</f>
        <v>UNKNOWN</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 "MALE",orders[[#This Row],[Customer Gender]]="", "FEMALE",orders[[#This Row],[Customer Gender]]="O", "OTHERS",TRUE,"UNKNOWN")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 "MALE",orders[[#This Row],[Customer Gender]]="", "FEMALE",orders[[#This Row],[Customer Gender]]="O", "OTHERS",TRUE,"UNKNOWN")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 "MALE",orders[[#This Row],[Customer Gender]]="", "FEMALE",orders[[#This Row],[Customer Gender]]="O", "OTHERS",TRUE,"UNKNOWN")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 "MALE",orders[[#This Row],[Customer Gender]]="", "FEMALE",orders[[#This Row],[Customer Gender]]="O", "OTHERS",TRUE,"UNKNOWN")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 "MALE",orders[[#This Row],[Customer Gender]]="", "FEMALE",orders[[#This Row],[Customer Gender]]="O", "OTHERS",TRUE,"UNKNOWN")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 "MALE",orders[[#This Row],[Customer Gender]]="", "FEMALE",orders[[#This Row],[Customer Gender]]="O", "OTHERS",TRUE,"UNKNOWN")</f>
        <v>UNKNOWN</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 "MALE",orders[[#This Row],[Customer Gender]]="", "FEMALE",orders[[#This Row],[Customer Gender]]="O", "OTHERS",TRUE,"UNKNOWN")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 "MALE",orders[[#This Row],[Customer Gender]]="", "FEMALE",orders[[#This Row],[Customer Gender]]="O", "OTHERS",TRUE,"UNKNOWN")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 "MALE",orders[[#This Row],[Customer Gender]]="", "FEMALE",orders[[#This Row],[Customer Gender]]="O", "OTHERS",TRUE,"UNKNOWN")</f>
        <v>UNKNOWN</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 "MALE",orders[[#This Row],[Customer Gender]]="", "FEMALE",orders[[#This Row],[Customer Gender]]="O", "OTHERS",TRUE,"UNKNOWN")</f>
        <v>UNKNOWN</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 "MALE",orders[[#This Row],[Customer Gender]]="", "FEMALE",orders[[#This Row],[Customer Gender]]="O", "OTHERS",TRUE,"UNKNOWN")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 "MALE",orders[[#This Row],[Customer Gender]]="", "FEMALE",orders[[#This Row],[Customer Gender]]="O", "OTHERS",TRUE,"UNKNOWN")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 "MALE",orders[[#This Row],[Customer Gender]]="", "FEMALE",orders[[#This Row],[Customer Gender]]="O", "OTHERS",TRUE,"UNKNOWN")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 "MALE",orders[[#This Row],[Customer Gender]]="", "FEMALE",orders[[#This Row],[Customer Gender]]="O", "OTHERS",TRUE,"UNKNOWN")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 "MALE",orders[[#This Row],[Customer Gender]]="", "FEMALE",orders[[#This Row],[Customer Gender]]="O", "OTHERS",TRUE,"UNKNOWN")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 "MALE",orders[[#This Row],[Customer Gender]]="", "FEMALE",orders[[#This Row],[Customer Gender]]="O", "OTHERS",TRUE,"UNKNOWN")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 "MALE",orders[[#This Row],[Customer Gender]]="", "FEMALE",orders[[#This Row],[Customer Gender]]="O", "OTHERS",TRUE,"UNKNOWN")</f>
        <v>UNKNOWN</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 "MALE",orders[[#This Row],[Customer Gender]]="", "FEMALE",orders[[#This Row],[Customer Gender]]="O", "OTHERS",TRUE,"UNKNOWN")</f>
        <v>UNKNOWN</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 "MALE",orders[[#This Row],[Customer Gender]]="", "FEMALE",orders[[#This Row],[Customer Gender]]="O", "OTHERS",TRUE,"UNKNOWN")</f>
        <v>UNKNOWN</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 "MALE",orders[[#This Row],[Customer Gender]]="", "FEMALE",orders[[#This Row],[Customer Gender]]="O", "OTHERS",TRUE,"UNKNOWN")</f>
        <v>UNKNOWN</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 "MALE",orders[[#This Row],[Customer Gender]]="", "FEMALE",orders[[#This Row],[Customer Gender]]="O", "OTHERS",TRUE,"UNKNOWN")</f>
        <v>UNKNOWN</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 "MALE",orders[[#This Row],[Customer Gender]]="", "FEMALE",orders[[#This Row],[Customer Gender]]="O", "OTHERS",TRUE,"UNKNOWN")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 "MALE",orders[[#This Row],[Customer Gender]]="", "FEMALE",orders[[#This Row],[Customer Gender]]="O", "OTHERS",TRUE,"UNKNOWN")</f>
        <v>FEMALE</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 "MALE",orders[[#This Row],[Customer Gender]]="", "FEMALE",orders[[#This Row],[Customer Gender]]="O", "OTHERS",TRUE,"UNKNOWN")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 "MALE",orders[[#This Row],[Customer Gender]]="", "FEMALE",orders[[#This Row],[Customer Gender]]="O", "OTHERS",TRUE,"UNKNOWN")</f>
        <v>UNKNOWN</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 "MALE",orders[[#This Row],[Customer Gender]]="", "FEMALE",orders[[#This Row],[Customer Gender]]="O", "OTHERS",TRUE,"UNKNOWN")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 "MALE",orders[[#This Row],[Customer Gender]]="", "FEMALE",orders[[#This Row],[Customer Gender]]="O", "OTHERS",TRUE,"UNKNOWN")</f>
        <v>OTHERS</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 "MALE",orders[[#This Row],[Customer Gender]]="", "FEMALE",orders[[#This Row],[Customer Gender]]="O", "OTHERS",TRUE,"UNKNOWN")</f>
        <v>UNKNOWN</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 "MALE",orders[[#This Row],[Customer Gender]]="", "FEMALE",orders[[#This Row],[Customer Gender]]="O", "OTHERS",TRUE,"UNKNOWN")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 "MALE",orders[[#This Row],[Customer Gender]]="", "FEMALE",orders[[#This Row],[Customer Gender]]="O", "OTHERS",TRUE,"UNKNOWN")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 "MALE",orders[[#This Row],[Customer Gender]]="", "FEMALE",orders[[#This Row],[Customer Gender]]="O", "OTHERS",TRUE,"UNKNOWN")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 "MALE",orders[[#This Row],[Customer Gender]]="", "FEMALE",orders[[#This Row],[Customer Gender]]="O", "OTHERS",TRUE,"UNKNOWN")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 "MALE",orders[[#This Row],[Customer Gender]]="", "FEMALE",orders[[#This Row],[Customer Gender]]="O", "OTHERS",TRUE,"UNKNOWN")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 "MALE",orders[[#This Row],[Customer Gender]]="", "FEMALE",orders[[#This Row],[Customer Gender]]="O", "OTHERS",TRUE,"UNKNOWN")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 "MALE",orders[[#This Row],[Customer Gender]]="", "FEMALE",orders[[#This Row],[Customer Gender]]="O", "OTHERS",TRUE,"UNKNOWN")</f>
        <v>UNKNOWN</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 "MALE",orders[[#This Row],[Customer Gender]]="", "FEMALE",orders[[#This Row],[Customer Gender]]="O", "OTHERS",TRUE,"UNKNOWN")</f>
        <v>UNKNOWN</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 "MALE",orders[[#This Row],[Customer Gender]]="", "FEMALE",orders[[#This Row],[Customer Gender]]="O", "OTHERS",TRUE,"UNKNOWN")</f>
        <v>UNKNOWN</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 "MALE",orders[[#This Row],[Customer Gender]]="", "FEMALE",orders[[#This Row],[Customer Gender]]="O", "OTHERS",TRUE,"UNKNOWN")</f>
        <v>UNKNOWN</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 "MALE",orders[[#This Row],[Customer Gender]]="", "FEMALE",orders[[#This Row],[Customer Gender]]="O", "OTHERS",TRUE,"UNKNOWN")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 "MALE",orders[[#This Row],[Customer Gender]]="", "FEMALE",orders[[#This Row],[Customer Gender]]="O", "OTHERS",TRUE,"UNKNOWN")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 "MALE",orders[[#This Row],[Customer Gender]]="", "FEMALE",orders[[#This Row],[Customer Gender]]="O", "OTHERS",TRUE,"UNKNOWN")</f>
        <v>UNKNOWN</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 "MALE",orders[[#This Row],[Customer Gender]]="", "FEMALE",orders[[#This Row],[Customer Gender]]="O", "OTHERS",TRUE,"UNKNOWN")</f>
        <v>UNKNOWN</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 "MALE",orders[[#This Row],[Customer Gender]]="", "FEMALE",orders[[#This Row],[Customer Gender]]="O", "OTHERS",TRUE,"UNKNOWN")</f>
        <v>UNKNOWN</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 "MALE",orders[[#This Row],[Customer Gender]]="", "FEMALE",orders[[#This Row],[Customer Gender]]="O", "OTHERS",TRUE,"UNKNOWN")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 "MALE",orders[[#This Row],[Customer Gender]]="", "FEMALE",orders[[#This Row],[Customer Gender]]="O", "OTHERS",TRUE,"UNKNOWN")</f>
        <v>UNKNOWN</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 "MALE",orders[[#This Row],[Customer Gender]]="", "FEMALE",orders[[#This Row],[Customer Gender]]="O", "OTHERS",TRUE,"UNKNOWN")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 "MALE",orders[[#This Row],[Customer Gender]]="", "FEMALE",orders[[#This Row],[Customer Gender]]="O", "OTHERS",TRUE,"UNKNOWN")</f>
        <v>UNKNOWN</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 "MALE",orders[[#This Row],[Customer Gender]]="", "FEMALE",orders[[#This Row],[Customer Gender]]="O", "OTHERS",TRUE,"UNKNOWN")</f>
        <v>FEMALE</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 "MALE",orders[[#This Row],[Customer Gender]]="", "FEMALE",orders[[#This Row],[Customer Gender]]="O", "OTHERS",TRUE,"UNKNOWN")</f>
        <v>UNKNOWN</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 "MALE",orders[[#This Row],[Customer Gender]]="", "FEMALE",orders[[#This Row],[Customer Gender]]="O", "OTHERS",TRUE,"UNKNOWN")</f>
        <v>UNKNOWN</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 "MALE",orders[[#This Row],[Customer Gender]]="", "FEMALE",orders[[#This Row],[Customer Gender]]="O", "OTHERS",TRUE,"UNKNOWN")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 "MALE",orders[[#This Row],[Customer Gender]]="", "FEMALE",orders[[#This Row],[Customer Gender]]="O", "OTHERS",TRUE,"UNKNOWN")</f>
        <v>UNKNOWN</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 "MALE",orders[[#This Row],[Customer Gender]]="", "FEMALE",orders[[#This Row],[Customer Gender]]="O", "OTHERS",TRUE,"UNKNOWN")</f>
        <v>UNKNOWN</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 "MALE",orders[[#This Row],[Customer Gender]]="", "FEMALE",orders[[#This Row],[Customer Gender]]="O", "OTHERS",TRUE,"UNKNOWN")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 "MALE",orders[[#This Row],[Customer Gender]]="", "FEMALE",orders[[#This Row],[Customer Gender]]="O", "OTHERS",TRUE,"UNKNOWN")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 "MALE",orders[[#This Row],[Customer Gender]]="", "FEMALE",orders[[#This Row],[Customer Gender]]="O", "OTHERS",TRUE,"UNKNOWN")</f>
        <v>UNKNOWN</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 "MALE",orders[[#This Row],[Customer Gender]]="", "FEMALE",orders[[#This Row],[Customer Gender]]="O", "OTHERS",TRUE,"UNKNOWN")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 "MALE",orders[[#This Row],[Customer Gender]]="", "FEMALE",orders[[#This Row],[Customer Gender]]="O", "OTHERS",TRUE,"UNKNOWN")</f>
        <v>UNKNOWN</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 "MALE",orders[[#This Row],[Customer Gender]]="", "FEMALE",orders[[#This Row],[Customer Gender]]="O", "OTHERS",TRUE,"UNKNOWN")</f>
        <v>UNKNOWN</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 "MALE",orders[[#This Row],[Customer Gender]]="", "FEMALE",orders[[#This Row],[Customer Gender]]="O", "OTHERS",TRUE,"UNKNOWN")</f>
        <v>UNKNOWN</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 "MALE",orders[[#This Row],[Customer Gender]]="", "FEMALE",orders[[#This Row],[Customer Gender]]="O", "OTHERS",TRUE,"UNKNOWN")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 "MALE",orders[[#This Row],[Customer Gender]]="", "FEMALE",orders[[#This Row],[Customer Gender]]="O", "OTHERS",TRUE,"UNKNOWN")</f>
        <v>UNKNOWN</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 "MALE",orders[[#This Row],[Customer Gender]]="", "FEMALE",orders[[#This Row],[Customer Gender]]="O", "OTHERS",TRUE,"UNKNOWN")</f>
        <v>UNKNOWN</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 "MALE",orders[[#This Row],[Customer Gender]]="", "FEMALE",orders[[#This Row],[Customer Gender]]="O", "OTHERS",TRUE,"UNKNOWN")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 "MALE",orders[[#This Row],[Customer Gender]]="", "FEMALE",orders[[#This Row],[Customer Gender]]="O", "OTHERS",TRUE,"UNKNOWN")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 "MALE",orders[[#This Row],[Customer Gender]]="", "FEMALE",orders[[#This Row],[Customer Gender]]="O", "OTHERS",TRUE,"UNKNOWN")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 "MALE",orders[[#This Row],[Customer Gender]]="", "FEMALE",orders[[#This Row],[Customer Gender]]="O", "OTHERS",TRUE,"UNKNOWN")</f>
        <v>UNKNOWN</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 "MALE",orders[[#This Row],[Customer Gender]]="", "FEMALE",orders[[#This Row],[Customer Gender]]="O", "OTHERS",TRUE,"UNKNOWN")</f>
        <v>UNKNOWN</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 "MALE",orders[[#This Row],[Customer Gender]]="", "FEMALE",orders[[#This Row],[Customer Gender]]="O", "OTHERS",TRUE,"UNKNOWN")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 "MALE",orders[[#This Row],[Customer Gender]]="", "FEMALE",orders[[#This Row],[Customer Gender]]="O", "OTHERS",TRUE,"UNKNOWN")</f>
        <v>UNKNOWN</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 "MALE",orders[[#This Row],[Customer Gender]]="", "FEMALE",orders[[#This Row],[Customer Gender]]="O", "OTHERS",TRUE,"UNKNOWN")</f>
        <v>UNKNOWN</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 "MALE",orders[[#This Row],[Customer Gender]]="", "FEMALE",orders[[#This Row],[Customer Gender]]="O", "OTHERS",TRUE,"UNKNOWN")</f>
        <v>UNKNOWN</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 "MALE",orders[[#This Row],[Customer Gender]]="", "FEMALE",orders[[#This Row],[Customer Gender]]="O", "OTHERS",TRUE,"UNKNOWN")</f>
        <v>UNKNOWN</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 "MALE",orders[[#This Row],[Customer Gender]]="", "FEMALE",orders[[#This Row],[Customer Gender]]="O", "OTHERS",TRUE,"UNKNOWN")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 "MALE",orders[[#This Row],[Customer Gender]]="", "FEMALE",orders[[#This Row],[Customer Gender]]="O", "OTHERS",TRUE,"UNKNOWN")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 "MALE",orders[[#This Row],[Customer Gender]]="", "FEMALE",orders[[#This Row],[Customer Gender]]="O", "OTHERS",TRUE,"UNKNOWN")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 "MALE",orders[[#This Row],[Customer Gender]]="", "FEMALE",orders[[#This Row],[Customer Gender]]="O", "OTHERS",TRUE,"UNKNOWN")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 "MALE",orders[[#This Row],[Customer Gender]]="", "FEMALE",orders[[#This Row],[Customer Gender]]="O", "OTHERS",TRUE,"UNKNOWN")</f>
        <v>OTHERS</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 "MALE",orders[[#This Row],[Customer Gender]]="", "FEMALE",orders[[#This Row],[Customer Gender]]="O", "OTHERS",TRUE,"UNKNOWN")</f>
        <v>UNKNOWN</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 "MALE",orders[[#This Row],[Customer Gender]]="", "FEMALE",orders[[#This Row],[Customer Gender]]="O", "OTHERS",TRUE,"UNKNOWN")</f>
        <v>UNKNOWN</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 "MALE",orders[[#This Row],[Customer Gender]]="", "FEMALE",orders[[#This Row],[Customer Gender]]="O", "OTHERS",TRUE,"UNKNOWN")</f>
        <v>UNKNOWN</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 "MALE",orders[[#This Row],[Customer Gender]]="", "FEMALE",orders[[#This Row],[Customer Gender]]="O", "OTHERS",TRUE,"UNKNOWN")</f>
        <v>UNKNOWN</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 "MALE",orders[[#This Row],[Customer Gender]]="", "FEMALE",orders[[#This Row],[Customer Gender]]="O", "OTHERS",TRUE,"UNKNOWN")</f>
        <v>UNKNOWN</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 "MALE",orders[[#This Row],[Customer Gender]]="", "FEMALE",orders[[#This Row],[Customer Gender]]="O", "OTHERS",TRUE,"UNKNOWN")</f>
        <v>UNKNOWN</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 "MALE",orders[[#This Row],[Customer Gender]]="", "FEMALE",orders[[#This Row],[Customer Gender]]="O", "OTHERS",TRUE,"UNKNOWN")</f>
        <v>UNKNOWN</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 "MALE",orders[[#This Row],[Customer Gender]]="", "FEMALE",orders[[#This Row],[Customer Gender]]="O", "OTHERS",TRUE,"UNKNOWN")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 "MALE",orders[[#This Row],[Customer Gender]]="", "FEMALE",orders[[#This Row],[Customer Gender]]="O", "OTHERS",TRUE,"UNKNOWN")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 "MALE",orders[[#This Row],[Customer Gender]]="", "FEMALE",orders[[#This Row],[Customer Gender]]="O", "OTHERS",TRUE,"UNKNOWN")</f>
        <v>FEMALE</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 "MALE",orders[[#This Row],[Customer Gender]]="", "FEMALE",orders[[#This Row],[Customer Gender]]="O", "OTHERS",TRUE,"UNKNOWN")</f>
        <v>UNKNOWN</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 "MALE",orders[[#This Row],[Customer Gender]]="", "FEMALE",orders[[#This Row],[Customer Gender]]="O", "OTHERS",TRUE,"UNKNOWN")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 "MALE",orders[[#This Row],[Customer Gender]]="", "FEMALE",orders[[#This Row],[Customer Gender]]="O", "OTHERS",TRUE,"UNKNOWN")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 "MALE",orders[[#This Row],[Customer Gender]]="", "FEMALE",orders[[#This Row],[Customer Gender]]="O", "OTHERS",TRUE,"UNKNOWN")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 "MALE",orders[[#This Row],[Customer Gender]]="", "FEMALE",orders[[#This Row],[Customer Gender]]="O", "OTHERS",TRUE,"UNKNOWN")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 "MALE",orders[[#This Row],[Customer Gender]]="", "FEMALE",orders[[#This Row],[Customer Gender]]="O", "OTHERS",TRUE,"UNKNOWN")</f>
        <v>UNKNOWN</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 "MALE",orders[[#This Row],[Customer Gender]]="", "FEMALE",orders[[#This Row],[Customer Gender]]="O", "OTHERS",TRUE,"UNKNOWN")</f>
        <v>UNKNOWN</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 "MALE",orders[[#This Row],[Customer Gender]]="", "FEMALE",orders[[#This Row],[Customer Gender]]="O", "OTHERS",TRUE,"UNKNOWN")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 "MALE",orders[[#This Row],[Customer Gender]]="", "FEMALE",orders[[#This Row],[Customer Gender]]="O", "OTHERS",TRUE,"UNKNOWN")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 "MALE",orders[[#This Row],[Customer Gender]]="", "FEMALE",orders[[#This Row],[Customer Gender]]="O", "OTHERS",TRUE,"UNKNOWN")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 "MALE",orders[[#This Row],[Customer Gender]]="", "FEMALE",orders[[#This Row],[Customer Gender]]="O", "OTHERS",TRUE,"UNKNOWN")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 "MALE",orders[[#This Row],[Customer Gender]]="", "FEMALE",orders[[#This Row],[Customer Gender]]="O", "OTHERS",TRUE,"UNKNOWN")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 "MALE",orders[[#This Row],[Customer Gender]]="", "FEMALE",orders[[#This Row],[Customer Gender]]="O", "OTHERS",TRUE,"UNKNOWN")</f>
        <v>OTHERS</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 "MALE",orders[[#This Row],[Customer Gender]]="", "FEMALE",orders[[#This Row],[Customer Gender]]="O", "OTHERS",TRUE,"UNKNOWN")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 "MALE",orders[[#This Row],[Customer Gender]]="", "FEMALE",orders[[#This Row],[Customer Gender]]="O", "OTHERS",TRUE,"UNKNOWN")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 "MALE",orders[[#This Row],[Customer Gender]]="", "FEMALE",orders[[#This Row],[Customer Gender]]="O", "OTHERS",TRUE,"UNKNOWN")</f>
        <v>UNKNOWN</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 "MALE",orders[[#This Row],[Customer Gender]]="", "FEMALE",orders[[#This Row],[Customer Gender]]="O", "OTHERS",TRUE,"UNKNOWN")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 "MALE",orders[[#This Row],[Customer Gender]]="", "FEMALE",orders[[#This Row],[Customer Gender]]="O", "OTHERS",TRUE,"UNKNOWN")</f>
        <v>OTHERS</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 "MALE",orders[[#This Row],[Customer Gender]]="", "FEMALE",orders[[#This Row],[Customer Gender]]="O", "OTHERS",TRUE,"UNKNOWN")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 "MALE",orders[[#This Row],[Customer Gender]]="", "FEMALE",orders[[#This Row],[Customer Gender]]="O", "OTHERS",TRUE,"UNKNOWN")</f>
        <v>UNKNOWN</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 "MALE",orders[[#This Row],[Customer Gender]]="", "FEMALE",orders[[#This Row],[Customer Gender]]="O", "OTHERS",TRUE,"UNKNOWN")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 "MALE",orders[[#This Row],[Customer Gender]]="", "FEMALE",orders[[#This Row],[Customer Gender]]="O", "OTHERS",TRUE,"UNKNOWN")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 "MALE",orders[[#This Row],[Customer Gender]]="", "FEMALE",orders[[#This Row],[Customer Gender]]="O", "OTHERS",TRUE,"UNKNOWN")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 "MALE",orders[[#This Row],[Customer Gender]]="", "FEMALE",orders[[#This Row],[Customer Gender]]="O", "OTHERS",TRUE,"UNKNOWN")</f>
        <v>UNKNOWN</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 "MALE",orders[[#This Row],[Customer Gender]]="", "FEMALE",orders[[#This Row],[Customer Gender]]="O", "OTHERS",TRUE,"UNKNOWN")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 "MALE",orders[[#This Row],[Customer Gender]]="", "FEMALE",orders[[#This Row],[Customer Gender]]="O", "OTHERS",TRUE,"UNKNOWN")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 "MALE",orders[[#This Row],[Customer Gender]]="", "FEMALE",orders[[#This Row],[Customer Gender]]="O", "OTHERS",TRUE,"UNKNOWN")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 "MALE",orders[[#This Row],[Customer Gender]]="", "FEMALE",orders[[#This Row],[Customer Gender]]="O", "OTHERS",TRUE,"UNKNOWN")</f>
        <v>UNKNOWN</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 "MALE",orders[[#This Row],[Customer Gender]]="", "FEMALE",orders[[#This Row],[Customer Gender]]="O", "OTHERS",TRUE,"UNKNOWN")</f>
        <v>UNKNOWN</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 "MALE",orders[[#This Row],[Customer Gender]]="", "FEMALE",orders[[#This Row],[Customer Gender]]="O", "OTHERS",TRUE,"UNKNOWN")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 "MALE",orders[[#This Row],[Customer Gender]]="", "FEMALE",orders[[#This Row],[Customer Gender]]="O", "OTHERS",TRUE,"UNKNOWN")</f>
        <v>UNKNOWN</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 "MALE",orders[[#This Row],[Customer Gender]]="", "FEMALE",orders[[#This Row],[Customer Gender]]="O", "OTHERS",TRUE,"UNKNOWN")</f>
        <v>FEMALE</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 "MALE",orders[[#This Row],[Customer Gender]]="", "FEMALE",orders[[#This Row],[Customer Gender]]="O", "OTHERS",TRUE,"UNKNOWN")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 "MALE",orders[[#This Row],[Customer Gender]]="", "FEMALE",orders[[#This Row],[Customer Gender]]="O", "OTHERS",TRUE,"UNKNOWN")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 "MALE",orders[[#This Row],[Customer Gender]]="", "FEMALE",orders[[#This Row],[Customer Gender]]="O", "OTHERS",TRUE,"UNKNOWN")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 "MALE",orders[[#This Row],[Customer Gender]]="", "FEMALE",orders[[#This Row],[Customer Gender]]="O", "OTHERS",TRUE,"UNKNOWN")</f>
        <v>UNKNOWN</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 "MALE",orders[[#This Row],[Customer Gender]]="", "FEMALE",orders[[#This Row],[Customer Gender]]="O", "OTHERS",TRUE,"UNKNOWN")</f>
        <v>UNKNOWN</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 "MALE",orders[[#This Row],[Customer Gender]]="", "FEMALE",orders[[#This Row],[Customer Gender]]="O", "OTHERS",TRUE,"UNKNOWN")</f>
        <v>UNKNOWN</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 "MALE",orders[[#This Row],[Customer Gender]]="", "FEMALE",orders[[#This Row],[Customer Gender]]="O", "OTHERS",TRUE,"UNKNOWN")</f>
        <v>UNKNOWN</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 "MALE",orders[[#This Row],[Customer Gender]]="", "FEMALE",orders[[#This Row],[Customer Gender]]="O", "OTHERS",TRUE,"UNKNOWN")</f>
        <v>UNKNOWN</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 "MALE",orders[[#This Row],[Customer Gender]]="", "FEMALE",orders[[#This Row],[Customer Gender]]="O", "OTHERS",TRUE,"UNKNOWN")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 "MALE",orders[[#This Row],[Customer Gender]]="", "FEMALE",orders[[#This Row],[Customer Gender]]="O", "OTHERS",TRUE,"UNKNOWN")</f>
        <v>FEMALE</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 "MALE",orders[[#This Row],[Customer Gender]]="", "FEMALE",orders[[#This Row],[Customer Gender]]="O", "OTHERS",TRUE,"UNKNOWN")</f>
        <v>FEMALE</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 "MALE",orders[[#This Row],[Customer Gender]]="", "FEMALE",orders[[#This Row],[Customer Gender]]="O", "OTHERS",TRUE,"UNKNOWN")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 "MALE",orders[[#This Row],[Customer Gender]]="", "FEMALE",orders[[#This Row],[Customer Gender]]="O", "OTHERS",TRUE,"UNKNOWN")</f>
        <v>UNKNOWN</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 "MALE",orders[[#This Row],[Customer Gender]]="", "FEMALE",orders[[#This Row],[Customer Gender]]="O", "OTHERS",TRUE,"UNKNOWN")</f>
        <v>UNKNOWN</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 "MALE",orders[[#This Row],[Customer Gender]]="", "FEMALE",orders[[#This Row],[Customer Gender]]="O", "OTHERS",TRUE,"UNKNOWN")</f>
        <v>UNKNOWN</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 "MALE",orders[[#This Row],[Customer Gender]]="", "FEMALE",orders[[#This Row],[Customer Gender]]="O", "OTHERS",TRUE,"UNKNOWN")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 "MALE",orders[[#This Row],[Customer Gender]]="", "FEMALE",orders[[#This Row],[Customer Gender]]="O", "OTHERS",TRUE,"UNKNOWN")</f>
        <v>UNKNOWN</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 "MALE",orders[[#This Row],[Customer Gender]]="", "FEMALE",orders[[#This Row],[Customer Gender]]="O", "OTHERS",TRUE,"UNKNOWN")</f>
        <v>UNKNOWN</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 "MALE",orders[[#This Row],[Customer Gender]]="", "FEMALE",orders[[#This Row],[Customer Gender]]="O", "OTHERS",TRUE,"UNKNOWN")</f>
        <v>UNKNOWN</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 "MALE",orders[[#This Row],[Customer Gender]]="", "FEMALE",orders[[#This Row],[Customer Gender]]="O", "OTHERS",TRUE,"UNKNOWN")</f>
        <v>UNKNOWN</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 "MALE",orders[[#This Row],[Customer Gender]]="", "FEMALE",orders[[#This Row],[Customer Gender]]="O", "OTHERS",TRUE,"UNKNOWN")</f>
        <v>UNKNOWN</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 "MALE",orders[[#This Row],[Customer Gender]]="", "FEMALE",orders[[#This Row],[Customer Gender]]="O", "OTHERS",TRUE,"UNKNOWN")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 "MALE",orders[[#This Row],[Customer Gender]]="", "FEMALE",orders[[#This Row],[Customer Gender]]="O", "OTHERS",TRUE,"UNKNOWN")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 "MALE",orders[[#This Row],[Customer Gender]]="", "FEMALE",orders[[#This Row],[Customer Gender]]="O", "OTHERS",TRUE,"UNKNOWN")</f>
        <v>UNKNOWN</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 "MALE",orders[[#This Row],[Customer Gender]]="", "FEMALE",orders[[#This Row],[Customer Gender]]="O", "OTHERS",TRUE,"UNKNOWN")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 "MALE",orders[[#This Row],[Customer Gender]]="", "FEMALE",orders[[#This Row],[Customer Gender]]="O", "OTHERS",TRUE,"UNKNOWN")</f>
        <v>UNKNOWN</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 "MALE",orders[[#This Row],[Customer Gender]]="", "FEMALE",orders[[#This Row],[Customer Gender]]="O", "OTHERS",TRUE,"UNKNOWN")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 "MALE",orders[[#This Row],[Customer Gender]]="", "FEMALE",orders[[#This Row],[Customer Gender]]="O", "OTHERS",TRUE,"UNKNOWN")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 "MALE",orders[[#This Row],[Customer Gender]]="", "FEMALE",orders[[#This Row],[Customer Gender]]="O", "OTHERS",TRUE,"UNKNOWN")</f>
        <v>UNKNOWN</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 "MALE",orders[[#This Row],[Customer Gender]]="", "FEMALE",orders[[#This Row],[Customer Gender]]="O", "OTHERS",TRUE,"UNKNOWN")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 "MALE",orders[[#This Row],[Customer Gender]]="", "FEMALE",orders[[#This Row],[Customer Gender]]="O", "OTHERS",TRUE,"UNKNOWN")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 "MALE",orders[[#This Row],[Customer Gender]]="", "FEMALE",orders[[#This Row],[Customer Gender]]="O", "OTHERS",TRUE,"UNKNOWN")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 "MALE",orders[[#This Row],[Customer Gender]]="", "FEMALE",orders[[#This Row],[Customer Gender]]="O", "OTHERS",TRUE,"UNKNOWN")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 "MALE",orders[[#This Row],[Customer Gender]]="", "FEMALE",orders[[#This Row],[Customer Gender]]="O", "OTHERS",TRUE,"UNKNOWN")</f>
        <v>UNKNOWN</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 "MALE",orders[[#This Row],[Customer Gender]]="", "FEMALE",orders[[#This Row],[Customer Gender]]="O", "OTHERS",TRUE,"UNKNOWN")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 "MALE",orders[[#This Row],[Customer Gender]]="", "FEMALE",orders[[#This Row],[Customer Gender]]="O", "OTHERS",TRUE,"UNKNOWN")</f>
        <v>OTHERS</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 "MALE",orders[[#This Row],[Customer Gender]]="", "FEMALE",orders[[#This Row],[Customer Gender]]="O", "OTHERS",TRUE,"UNKNOWN")</f>
        <v>UNKNOWN</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 "MALE",orders[[#This Row],[Customer Gender]]="", "FEMALE",orders[[#This Row],[Customer Gender]]="O", "OTHERS",TRUE,"UNKNOWN")</f>
        <v>UNKNOWN</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 "MALE",orders[[#This Row],[Customer Gender]]="", "FEMALE",orders[[#This Row],[Customer Gender]]="O", "OTHERS",TRUE,"UNKNOWN")</f>
        <v>UNKNOWN</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 "MALE",orders[[#This Row],[Customer Gender]]="", "FEMALE",orders[[#This Row],[Customer Gender]]="O", "OTHERS",TRUE,"UNKNOWN")</f>
        <v>UNKNOWN</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 "MALE",orders[[#This Row],[Customer Gender]]="", "FEMALE",orders[[#This Row],[Customer Gender]]="O", "OTHERS",TRUE,"UNKNOWN")</f>
        <v>OTHERS</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 "MALE",orders[[#This Row],[Customer Gender]]="", "FEMALE",orders[[#This Row],[Customer Gender]]="O", "OTHERS",TRUE,"UNKNOWN")</f>
        <v>UNKNOWN</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 "MALE",orders[[#This Row],[Customer Gender]]="", "FEMALE",orders[[#This Row],[Customer Gender]]="O", "OTHERS",TRUE,"UNKNOWN")</f>
        <v>UNKNOWN</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 "MALE",orders[[#This Row],[Customer Gender]]="", "FEMALE",orders[[#This Row],[Customer Gender]]="O", "OTHERS",TRUE,"UNKNOWN")</f>
        <v>UNKNOWN</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 "MALE",orders[[#This Row],[Customer Gender]]="", "FEMALE",orders[[#This Row],[Customer Gender]]="O", "OTHERS",TRUE,"UNKNOWN")</f>
        <v>UNKNOWN</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 "MALE",orders[[#This Row],[Customer Gender]]="", "FEMALE",orders[[#This Row],[Customer Gender]]="O", "OTHERS",TRUE,"UNKNOWN")</f>
        <v>FEMALE</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 "MALE",orders[[#This Row],[Customer Gender]]="", "FEMALE",orders[[#This Row],[Customer Gender]]="O", "OTHERS",TRUE,"UNKNOWN")</f>
        <v>UNKNOWN</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 "MALE",orders[[#This Row],[Customer Gender]]="", "FEMALE",orders[[#This Row],[Customer Gender]]="O", "OTHERS",TRUE,"UNKNOWN")</f>
        <v>UNKNOWN</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 "MALE",orders[[#This Row],[Customer Gender]]="", "FEMALE",orders[[#This Row],[Customer Gender]]="O", "OTHERS",TRUE,"UNKNOWN")</f>
        <v>UNKNOWN</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 "MALE",orders[[#This Row],[Customer Gender]]="", "FEMALE",orders[[#This Row],[Customer Gender]]="O", "OTHERS",TRUE,"UNKNOWN")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 "MALE",orders[[#This Row],[Customer Gender]]="", "FEMALE",orders[[#This Row],[Customer Gender]]="O", "OTHERS",TRUE,"UNKNOWN")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 "MALE",orders[[#This Row],[Customer Gender]]="", "FEMALE",orders[[#This Row],[Customer Gender]]="O", "OTHERS",TRUE,"UNKNOWN")</f>
        <v>UNKNOWN</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 "MALE",orders[[#This Row],[Customer Gender]]="", "FEMALE",orders[[#This Row],[Customer Gender]]="O", "OTHERS",TRUE,"UNKNOWN")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 "MALE",orders[[#This Row],[Customer Gender]]="", "FEMALE",orders[[#This Row],[Customer Gender]]="O", "OTHERS",TRUE,"UNKNOWN")</f>
        <v>UNKNOWN</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 "MALE",orders[[#This Row],[Customer Gender]]="", "FEMALE",orders[[#This Row],[Customer Gender]]="O", "OTHERS",TRUE,"UNKNOWN")</f>
        <v>UNKNOWN</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 "MALE",orders[[#This Row],[Customer Gender]]="", "FEMALE",orders[[#This Row],[Customer Gender]]="O", "OTHERS",TRUE,"UNKNOWN")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 "MALE",orders[[#This Row],[Customer Gender]]="", "FEMALE",orders[[#This Row],[Customer Gender]]="O", "OTHERS",TRUE,"UNKNOWN")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 "MALE",orders[[#This Row],[Customer Gender]]="", "FEMALE",orders[[#This Row],[Customer Gender]]="O", "OTHERS",TRUE,"UNKNOWN")</f>
        <v>UNKNOWN</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 "MALE",orders[[#This Row],[Customer Gender]]="", "FEMALE",orders[[#This Row],[Customer Gender]]="O", "OTHERS",TRUE,"UNKNOWN")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 "MALE",orders[[#This Row],[Customer Gender]]="", "FEMALE",orders[[#This Row],[Customer Gender]]="O", "OTHERS",TRUE,"UNKNOWN")</f>
        <v>FEMALE</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 "MALE",orders[[#This Row],[Customer Gender]]="", "FEMALE",orders[[#This Row],[Customer Gender]]="O", "OTHERS",TRUE,"UNKNOWN")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 "MALE",orders[[#This Row],[Customer Gender]]="", "FEMALE",orders[[#This Row],[Customer Gender]]="O", "OTHERS",TRUE,"UNKNOWN")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 "MALE",orders[[#This Row],[Customer Gender]]="", "FEMALE",orders[[#This Row],[Customer Gender]]="O", "OTHERS",TRUE,"UNKNOWN")</f>
        <v>UNKNOWN</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 "MALE",orders[[#This Row],[Customer Gender]]="", "FEMALE",orders[[#This Row],[Customer Gender]]="O", "OTHERS",TRUE,"UNKNOWN")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 "MALE",orders[[#This Row],[Customer Gender]]="", "FEMALE",orders[[#This Row],[Customer Gender]]="O", "OTHERS",TRUE,"UNKNOWN")</f>
        <v>UNKNOWN</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 "MALE",orders[[#This Row],[Customer Gender]]="", "FEMALE",orders[[#This Row],[Customer Gender]]="O", "OTHERS",TRUE,"UNKNOWN")</f>
        <v>UNKNOWN</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 "MALE",orders[[#This Row],[Customer Gender]]="", "FEMALE",orders[[#This Row],[Customer Gender]]="O", "OTHERS",TRUE,"UNKNOWN")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 "MALE",orders[[#This Row],[Customer Gender]]="", "FEMALE",orders[[#This Row],[Customer Gender]]="O", "OTHERS",TRUE,"UNKNOWN")</f>
        <v>FEMALE</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 "MALE",orders[[#This Row],[Customer Gender]]="", "FEMALE",orders[[#This Row],[Customer Gender]]="O", "OTHERS",TRUE,"UNKNOWN")</f>
        <v>UNKNOWN</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 "MALE",orders[[#This Row],[Customer Gender]]="", "FEMALE",orders[[#This Row],[Customer Gender]]="O", "OTHERS",TRUE,"UNKNOWN")</f>
        <v>UNKNOWN</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 "MALE",orders[[#This Row],[Customer Gender]]="", "FEMALE",orders[[#This Row],[Customer Gender]]="O", "OTHERS",TRUE,"UNKNOWN")</f>
        <v>UNKNOWN</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 "MALE",orders[[#This Row],[Customer Gender]]="", "FEMALE",orders[[#This Row],[Customer Gender]]="O", "OTHERS",TRUE,"UNKNOWN")</f>
        <v>UNKNOWN</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 "MALE",orders[[#This Row],[Customer Gender]]="", "FEMALE",orders[[#This Row],[Customer Gender]]="O", "OTHERS",TRUE,"UNKNOWN")</f>
        <v>UNKNOWN</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 "MALE",orders[[#This Row],[Customer Gender]]="", "FEMALE",orders[[#This Row],[Customer Gender]]="O", "OTHERS",TRUE,"UNKNOWN")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 "MALE",orders[[#This Row],[Customer Gender]]="", "FEMALE",orders[[#This Row],[Customer Gender]]="O", "OTHERS",TRUE,"UNKNOWN")</f>
        <v>FEMALE</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 "MALE",orders[[#This Row],[Customer Gender]]="", "FEMALE",orders[[#This Row],[Customer Gender]]="O", "OTHERS",TRUE,"UNKNOWN")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 "MALE",orders[[#This Row],[Customer Gender]]="", "FEMALE",orders[[#This Row],[Customer Gender]]="O", "OTHERS",TRUE,"UNKNOWN")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 "MALE",orders[[#This Row],[Customer Gender]]="", "FEMALE",orders[[#This Row],[Customer Gender]]="O", "OTHERS",TRUE,"UNKNOWN")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 "MALE",orders[[#This Row],[Customer Gender]]="", "FEMALE",orders[[#This Row],[Customer Gender]]="O", "OTHERS",TRUE,"UNKNOWN")</f>
        <v>UNKNOWN</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 "MALE",orders[[#This Row],[Customer Gender]]="", "FEMALE",orders[[#This Row],[Customer Gender]]="O", "OTHERS",TRUE,"UNKNOWN")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 "MALE",orders[[#This Row],[Customer Gender]]="", "FEMALE",orders[[#This Row],[Customer Gender]]="O", "OTHERS",TRUE,"UNKNOWN")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 "MALE",orders[[#This Row],[Customer Gender]]="", "FEMALE",orders[[#This Row],[Customer Gender]]="O", "OTHERS",TRUE,"UNKNOWN")</f>
        <v>UNKNOWN</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 "MALE",orders[[#This Row],[Customer Gender]]="", "FEMALE",orders[[#This Row],[Customer Gender]]="O", "OTHERS",TRUE,"UNKNOWN")</f>
        <v>UNKNOWN</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 "MALE",orders[[#This Row],[Customer Gender]]="", "FEMALE",orders[[#This Row],[Customer Gender]]="O", "OTHERS",TRUE,"UNKNOWN")</f>
        <v>FEMALE</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 "MALE",orders[[#This Row],[Customer Gender]]="", "FEMALE",orders[[#This Row],[Customer Gender]]="O", "OTHERS",TRUE,"UNKNOWN")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 "MALE",orders[[#This Row],[Customer Gender]]="", "FEMALE",orders[[#This Row],[Customer Gender]]="O", "OTHERS",TRUE,"UNKNOWN")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 "MALE",orders[[#This Row],[Customer Gender]]="", "FEMALE",orders[[#This Row],[Customer Gender]]="O", "OTHERS",TRUE,"UNKNOWN")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 "MALE",orders[[#This Row],[Customer Gender]]="", "FEMALE",orders[[#This Row],[Customer Gender]]="O", "OTHERS",TRUE,"UNKNOWN")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 "MALE",orders[[#This Row],[Customer Gender]]="", "FEMALE",orders[[#This Row],[Customer Gender]]="O", "OTHERS",TRUE,"UNKNOWN")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 "MALE",orders[[#This Row],[Customer Gender]]="", "FEMALE",orders[[#This Row],[Customer Gender]]="O", "OTHERS",TRUE,"UNKNOWN")</f>
        <v>UNKNOWN</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 "MALE",orders[[#This Row],[Customer Gender]]="", "FEMALE",orders[[#This Row],[Customer Gender]]="O", "OTHERS",TRUE,"UNKNOWN")</f>
        <v>UNKNOWN</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 "MALE",orders[[#This Row],[Customer Gender]]="", "FEMALE",orders[[#This Row],[Customer Gender]]="O", "OTHERS",TRUE,"UNKNOWN")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Sayali Nimbalkar</cp:lastModifiedBy>
  <dcterms:created xsi:type="dcterms:W3CDTF">2025-06-13T02:42:26Z</dcterms:created>
  <dcterms:modified xsi:type="dcterms:W3CDTF">2026-03-27T16:11:50Z</dcterms:modified>
</cp:coreProperties>
</file>